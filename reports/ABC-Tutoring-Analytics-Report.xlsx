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Event Data" state="visible" r:id="rId5"/>
    <sheet sheetId="3" name="KPI Summary" state="visible" r:id="rId6"/>
    <sheet sheetId="4" name="Booking Funnel" state="visible" r:id="rId7"/>
    <sheet sheetId="5" name="Tutor Performance" state="visible" r:id="rId8"/>
    <sheet sheetId="6" name="Subject Interest" state="visible" r:id="rId9"/>
    <sheet sheetId="7" name="Traffic Sources" state="visible" r:id="rId10"/>
    <sheet sheetId="8" name="Data Dictionary" state="visible" r:id="rId11"/>
    <sheet sheetId="9" name="Tutor Directory" state="visible" r:id="rId12"/>
  </sheets>
  <calcPr calcId="171027" fullCalcOnLoad="1"/>
</workbook>
</file>

<file path=xl/sharedStrings.xml><?xml version="1.0" encoding="utf-8"?>
<sst xmlns="http://schemas.openxmlformats.org/spreadsheetml/2006/main" count="1603" uniqueCount="206">
  <si>
    <t>ABC Tutoring — Analytics Report</t>
  </si>
  <si>
    <t>A customer-friendly workbook for website interest, tutor demand, and booking conversion.</t>
  </si>
  <si>
    <t>IMPORTANT DATA NOTE</t>
  </si>
  <si>
    <t>The Event Data sheet currently contains 25 clearly labeled illustrative synthetic visitors so the report is useful immediately. It is not real customer activity. Replace those rows with a PostHog CSV export before reporting real performance.</t>
  </si>
  <si>
    <t>Step</t>
  </si>
  <si>
    <t>Action</t>
  </si>
  <si>
    <t>What to do</t>
  </si>
  <si>
    <t>1</t>
  </si>
  <si>
    <t>Open the report</t>
  </si>
  <si>
    <t>Use KPI Summary for the high-level story and the detail sheets for tutor, subject, funnel, and source performance.</t>
  </si>
  <si>
    <t>2</t>
  </si>
  <si>
    <t>Export PostHog data</t>
  </si>
  <si>
    <t>In PostHog, export the tracked events for the reporting period as CSV.</t>
  </si>
  <si>
    <t>3</t>
  </si>
  <si>
    <t>Paste into Event Data</t>
  </si>
  <si>
    <t>Keep the same column order. Never add parent email, student name, or other personal information.</t>
  </si>
  <si>
    <t>4</t>
  </si>
  <si>
    <t>Separate demo traffic</t>
  </si>
  <si>
    <t>Use Synthetic traffic = TRUE for demonstrations and FALSE for real reporting.</t>
  </si>
  <si>
    <t>5</t>
  </si>
  <si>
    <t>Share safely</t>
  </si>
  <si>
    <t>Share KPI and detail tabs with Dana. Retain the data-status note and date range so the numbers cannot be mistaken for live results.</t>
  </si>
  <si>
    <t>Sharing rule</t>
  </si>
  <si>
    <t>Recommendation</t>
  </si>
  <si>
    <t>Customer dashboard</t>
  </si>
  <si>
    <t>Filter Synthetic traffic to FALSE.</t>
  </si>
  <si>
    <t>Demo dashboard</t>
  </si>
  <si>
    <t>Filter Synthetic traffic to TRUE.</t>
  </si>
  <si>
    <t>One simulation</t>
  </si>
  <si>
    <t>Filter Simulation run ID to the ID printed by the simulator.</t>
  </si>
  <si>
    <t>Privacy</t>
  </si>
  <si>
    <t>No parent or student personally identifiable information is captured in this workbook.</t>
  </si>
  <si>
    <t>Event time</t>
  </si>
  <si>
    <t>Event name</t>
  </si>
  <si>
    <t>Visitor/session ID</t>
  </si>
  <si>
    <t>Tutor ID</t>
  </si>
  <si>
    <t>Tutor name</t>
  </si>
  <si>
    <t>Subject</t>
  </si>
  <si>
    <t>Session format</t>
  </si>
  <si>
    <t>Booking stage</t>
  </si>
  <si>
    <t>Traffic source</t>
  </si>
  <si>
    <t>Synthetic traffic</t>
  </si>
  <si>
    <t>Simulation run ID</t>
  </si>
  <si>
    <t>Data status</t>
  </si>
  <si>
    <t>simulation_session_started</t>
  </si>
  <si>
    <t>demo-visitor-01</t>
  </si>
  <si>
    <t/>
  </si>
  <si>
    <t>direct</t>
  </si>
  <si>
    <t>illustrative_demo_25</t>
  </si>
  <si>
    <t>Illustrative sample—not a PostHog export</t>
  </si>
  <si>
    <t>$pageview</t>
  </si>
  <si>
    <t>demo-visitor-02</t>
  </si>
  <si>
    <t>google</t>
  </si>
  <si>
    <t>tutor_list_filtered</t>
  </si>
  <si>
    <t>marcus-reed</t>
  </si>
  <si>
    <t>Marcus Reed</t>
  </si>
  <si>
    <t>Math</t>
  </si>
  <si>
    <t>In person</t>
  </si>
  <si>
    <t>subject_interest</t>
  </si>
  <si>
    <t>tutor_profile_viewed</t>
  </si>
  <si>
    <t>demo-visitor-03</t>
  </si>
  <si>
    <t>facebook</t>
  </si>
  <si>
    <t>maya-chen</t>
  </si>
  <si>
    <t>Maya Chen</t>
  </si>
  <si>
    <t>Online</t>
  </si>
  <si>
    <t>demo-visitor-04</t>
  </si>
  <si>
    <t>newsletter</t>
  </si>
  <si>
    <t>arjun-patel</t>
  </si>
  <si>
    <t>Arjun Patel</t>
  </si>
  <si>
    <t>Science</t>
  </si>
  <si>
    <t>tutor_availability_viewed</t>
  </si>
  <si>
    <t>availability</t>
  </si>
  <si>
    <t>booking_abandoned</t>
  </si>
  <si>
    <t>demo-visitor-05</t>
  </si>
  <si>
    <t>claire-bennett</t>
  </si>
  <si>
    <t>Claire Bennett</t>
  </si>
  <si>
    <t>Reading</t>
  </si>
  <si>
    <t>demo-visitor-06</t>
  </si>
  <si>
    <t>noah-williams</t>
  </si>
  <si>
    <t>Noah Williams</t>
  </si>
  <si>
    <t>booking_details_viewed</t>
  </si>
  <si>
    <t>details</t>
  </si>
  <si>
    <t>demo-visitor-07</t>
  </si>
  <si>
    <t>elena-torres</t>
  </si>
  <si>
    <t>Elena Torres</t>
  </si>
  <si>
    <t>booking_completed</t>
  </si>
  <si>
    <t>complete</t>
  </si>
  <si>
    <t>demo-visitor-08</t>
  </si>
  <si>
    <t>demo-visitor-09</t>
  </si>
  <si>
    <t>demo-visitor-10</t>
  </si>
  <si>
    <t>demo-visitor-11</t>
  </si>
  <si>
    <t>demo-visitor-12</t>
  </si>
  <si>
    <t>demo-visitor-13</t>
  </si>
  <si>
    <t>demo-visitor-14</t>
  </si>
  <si>
    <t>demo-visitor-15</t>
  </si>
  <si>
    <t>demo-visitor-16</t>
  </si>
  <si>
    <t>demo-visitor-17</t>
  </si>
  <si>
    <t>demo-visitor-18</t>
  </si>
  <si>
    <t>demo-visitor-19</t>
  </si>
  <si>
    <t>demo-visitor-20</t>
  </si>
  <si>
    <t>demo-visitor-21</t>
  </si>
  <si>
    <t>demo-visitor-22</t>
  </si>
  <si>
    <t>demo-visitor-23</t>
  </si>
  <si>
    <t>demo-visitor-24</t>
  </si>
  <si>
    <t>demo-visitor-25</t>
  </si>
  <si>
    <t>ABC Tutoring — KPI Summary</t>
  </si>
  <si>
    <t>Illustrative synthetic data is shown separately from real visitor data. Update Event Data to refresh formulas.</t>
  </si>
  <si>
    <t>Metric</t>
  </si>
  <si>
    <t>Real visitors</t>
  </si>
  <si>
    <t>Synthetic demo</t>
  </si>
  <si>
    <t>Combined</t>
  </si>
  <si>
    <t>Meaning</t>
  </si>
  <si>
    <t>Website visits</t>
  </si>
  <si>
    <t>Landing-page visits</t>
  </si>
  <si>
    <t>Tutor profiles viewed</t>
  </si>
  <si>
    <t>Direct tutor-profile interest</t>
  </si>
  <si>
    <t>Availability viewed</t>
  </si>
  <si>
    <t>Visitors who opened a tutor's schedule</t>
  </si>
  <si>
    <t>Booking details reached</t>
  </si>
  <si>
    <t>Visitors who progressed to the information form</t>
  </si>
  <si>
    <t>Bookings completed</t>
  </si>
  <si>
    <t>Prototype booking confirmations</t>
  </si>
  <si>
    <t>Bookings abandoned</t>
  </si>
  <si>
    <t>Booking flows closed before completion</t>
  </si>
  <si>
    <t>Visit-to-booking conversion</t>
  </si>
  <si>
    <t>Completed bookings divided by website visits</t>
  </si>
  <si>
    <t>Booking Funnel</t>
  </si>
  <si>
    <t>Use the Real column for customer reporting and Synthetic for demonstrations.</t>
  </si>
  <si>
    <t>Stage</t>
  </si>
  <si>
    <t>PostHog event</t>
  </si>
  <si>
    <t>Real</t>
  </si>
  <si>
    <t>Synthetic</t>
  </si>
  <si>
    <t>Synthetic step rate</t>
  </si>
  <si>
    <t>Website visit</t>
  </si>
  <si>
    <t>Subject interest</t>
  </si>
  <si>
    <t>Tutor profile viewed</t>
  </si>
  <si>
    <t>Booking completed</t>
  </si>
  <si>
    <t>Tutor Performance</t>
  </si>
  <si>
    <t>Counts below use synthetic demonstration events only until real PostHog data is imported.</t>
  </si>
  <si>
    <t>Tutor</t>
  </si>
  <si>
    <t>Profile views</t>
  </si>
  <si>
    <t>Availability views</t>
  </si>
  <si>
    <t>Bookings</t>
  </si>
  <si>
    <t>Booking rate</t>
  </si>
  <si>
    <t>Subject Interest</t>
  </si>
  <si>
    <t>Shows what families browse and which subjects lead to bookings.</t>
  </si>
  <si>
    <t>Interest events</t>
  </si>
  <si>
    <t>Interpretation</t>
  </si>
  <si>
    <t>Compare interest with bookings to identify unmet demand.</t>
  </si>
  <si>
    <t>Traffic Sources</t>
  </si>
  <si>
    <t>UTM source data helps Dana understand which outreach channels produce bookings.</t>
  </si>
  <si>
    <t>Source</t>
  </si>
  <si>
    <t>Visits</t>
  </si>
  <si>
    <t>Conversion rate</t>
  </si>
  <si>
    <t>Recommended use</t>
  </si>
  <si>
    <t>Compare volume and conversion before changing marketing effort.</t>
  </si>
  <si>
    <t>PostHog Data Dictionary</t>
  </si>
  <si>
    <t>Definitions make the workbook understandable when shared outside the development team.</t>
  </si>
  <si>
    <t>Event/property</t>
  </si>
  <si>
    <t>Type</t>
  </si>
  <si>
    <t>Definition</t>
  </si>
  <si>
    <t>Used for</t>
  </si>
  <si>
    <t>Event</t>
  </si>
  <si>
    <t>A visit to the ABC Tutoring page.</t>
  </si>
  <si>
    <t>Traffic and conversion denominator</t>
  </si>
  <si>
    <t>A visitor selected a subject card.</t>
  </si>
  <si>
    <t>Subject demand</t>
  </si>
  <si>
    <t>A visitor opened more information about a tutor.</t>
  </si>
  <si>
    <t>Tutor popularity</t>
  </si>
  <si>
    <t>A visitor opened the tutor's scheduling flow.</t>
  </si>
  <si>
    <t>High-intent tutor interest</t>
  </si>
  <si>
    <t>A visitor continued from time selection to booking details.</t>
  </si>
  <si>
    <t>Funnel progression</t>
  </si>
  <si>
    <t>The prototype showed a booking confirmation.</t>
  </si>
  <si>
    <t>Booking conversion</t>
  </si>
  <si>
    <t>The booking modal closed before completion.</t>
  </si>
  <si>
    <t>Funnel abandonment</t>
  </si>
  <si>
    <t>contact_clicked</t>
  </si>
  <si>
    <t>A phone or email contact link was selected.</t>
  </si>
  <si>
    <t>Direct contact interest</t>
  </si>
  <si>
    <t>tutor_id / tutor_name</t>
  </si>
  <si>
    <t>Property</t>
  </si>
  <si>
    <t>Stable tutor identifier and readable tutor name.</t>
  </si>
  <si>
    <t>Tutor breakdown</t>
  </si>
  <si>
    <t>subject</t>
  </si>
  <si>
    <t>Math, Science, or Reading.</t>
  </si>
  <si>
    <t>Subject breakdown</t>
  </si>
  <si>
    <t>session_format</t>
  </si>
  <si>
    <t>Online or in person.</t>
  </si>
  <si>
    <t>Service-format demand</t>
  </si>
  <si>
    <t>synthetic_traffic</t>
  </si>
  <si>
    <t>TRUE for automated demonstrations; FALSE for real visitors.</t>
  </si>
  <si>
    <t>Data-quality separation</t>
  </si>
  <si>
    <t>simulation_run_id</t>
  </si>
  <si>
    <t>Unique identifier printed for each simulator execution.</t>
  </si>
  <si>
    <t>Single-run filtering</t>
  </si>
  <si>
    <t>UTM source or direct traffic.</t>
  </si>
  <si>
    <t>Marketing attribution</t>
  </si>
  <si>
    <t>Tutor Directory</t>
  </si>
  <si>
    <t>Reference data used to interpret tutor IDs in PostHog exports.</t>
  </si>
  <si>
    <t>Grade levels</t>
  </si>
  <si>
    <t>Hourly rate</t>
  </si>
  <si>
    <t>Grades 3-8</t>
  </si>
  <si>
    <t>Grades 6-12</t>
  </si>
  <si>
    <t>Grades K-6</t>
  </si>
  <si>
    <t>Grades K-5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</si>
</sst>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 hh:mm:ss"/>
    <numFmt numFmtId="165" formatCode="0.0%"/>
    <numFmt numFmtId="166" formatCode="$0.00"/>
  </numFmts>
  <fonts count="5" x14ac:knownFonts="1">
    <font>
      <color theme="1"/>
      <family val="2"/>
      <scheme val="minor"/>
      <sz val="11"/>
      <name val="Calibri"/>
    </font>
    <font>
      <b/>
      <color rgb="FFFFFFFF"/>
      <sz val="20"/>
    </font>
    <font>
      <i/>
      <color rgb="FF64748B"/>
    </font>
    <font>
      <b/>
      <color rgb="FF183B56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FF4D8"/>
      </patternFill>
    </fill>
    <fill>
      <patternFill patternType="solid">
        <fgColor rgb="FF3178C6"/>
      </patternFill>
    </fill>
    <fill>
      <patternFill patternType="solid">
        <fgColor rgb="FFE8F5EF"/>
      </patternFill>
    </fill>
  </fills>
  <borders count="2">
    <border>
      <left/>
      <right/>
      <top/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/>
    <xf numFmtId="0" fontId="0" fillId="3" borderId="0" xfId="0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0" xfId="0" applyNumberFormat="1"/>
    <xf numFmtId="164" fontId="4" fillId="4" borderId="0" xfId="0" applyNumberFormat="1" applyFont="1" applyFill="1" applyAlignment="1">
      <alignment vertical="center" wrapText="1"/>
    </xf>
    <xf numFmtId="0" fontId="0" fillId="5" borderId="0" xfId="0" applyFill="1"/>
    <xf numFmtId="0" fontId="0" fillId="5" borderId="1" xfId="0" applyFill="1" applyBorder="1"/>
    <xf numFmtId="165" fontId="0" fillId="5" borderId="1" xfId="0" applyNumberFormat="1" applyFill="1" applyBorder="1"/>
    <xf numFmtId="165" fontId="0" fillId="0" borderId="1" xfId="0" applyNumberFormat="1" applyBorder="1"/>
    <xf numFmtId="166" fontId="0" fillId="0" borderId="0" xfId="0" applyNumberFormat="1"/>
    <xf numFmtId="166" fontId="1" fillId="2" borderId="0" xfId="0" applyNumberFormat="1" applyFont="1" applyFill="1" applyAlignment="1">
      <alignment vertical="center"/>
    </xf>
    <xf numFmtId="166" fontId="2" fillId="0" borderId="0" xfId="0" applyNumberFormat="1" applyFont="1" applyAlignment="1">
      <alignment vertical="center" wrapText="1"/>
    </xf>
    <xf numFmtId="166" fontId="4" fillId="4" borderId="1" xfId="0" applyNumberFormat="1" applyFont="1" applyFill="1" applyBorder="1" applyAlignment="1">
      <alignment vertical="center" wrapText="1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ventDataTable" displayName="EventDataTable" ref="A1:L138" totalsRowShown="1" headerRowCount="1">
  <autoFilter ref="A1:L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Event time" totalsRowLabel="Total"/>
    <tableColumn id="2" name="Event name" totalsRowFunction="none"/>
    <tableColumn id="3" name="Visitor/session ID" totalsRowFunction="none"/>
    <tableColumn id="4" name="Tutor ID" totalsRowFunction="none"/>
    <tableColumn id="5" name="Tutor name" totalsRowFunction="none"/>
    <tableColumn id="6" name="Subject" totalsRowFunction="none"/>
    <tableColumn id="7" name="Session format" totalsRowFunction="none"/>
    <tableColumn id="8" name="Booking stage" totalsRowFunction="none"/>
    <tableColumn id="9" name="Traffic source" totalsRowFunction="none"/>
    <tableColumn id="10" name="Synthetic traffic" totalsRowFunction="none"/>
    <tableColumn id="11" name="Simulation run ID" totalsRowFunction="none"/>
    <tableColumn id="12" name="Data 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9" customWidth="1"/>
    <col min="3" max="3" width="76" customWidth="1"/>
    <col min="4" max="4" width="29" customWidth="1"/>
    <col min="5" max="6" width="20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8" customHeight="1" spans="1:6" x14ac:dyDescent="0.25">
      <c r="A5" s="4" t="s">
        <v>3</v>
      </c>
      <c r="B5" s="4"/>
      <c r="C5" s="4"/>
      <c r="D5" s="4"/>
      <c r="E5" s="4"/>
      <c r="F5" s="4"/>
    </row>
    <row r="6" ht="28" customHeight="1" spans="1:6" x14ac:dyDescent="0.25">
      <c r="A6" s="4"/>
      <c r="B6" s="4"/>
      <c r="C6" s="4"/>
      <c r="D6" s="4"/>
      <c r="E6" s="4"/>
      <c r="F6" s="4"/>
    </row>
    <row r="8" ht="28" customHeight="1" spans="1:3" s="5" customFormat="1" x14ac:dyDescent="0.25">
      <c r="A8" s="6" t="s">
        <v>4</v>
      </c>
      <c r="B8" s="6" t="s">
        <v>5</v>
      </c>
      <c r="C8" s="6" t="s">
        <v>6</v>
      </c>
    </row>
    <row r="9" ht="38" customHeight="1" spans="1:3" x14ac:dyDescent="0.25">
      <c r="A9" s="7" t="s">
        <v>7</v>
      </c>
      <c r="B9" s="7" t="s">
        <v>8</v>
      </c>
      <c r="C9" s="7" t="s">
        <v>9</v>
      </c>
    </row>
    <row r="10" ht="38" customHeight="1" spans="1:3" x14ac:dyDescent="0.25">
      <c r="A10" s="7" t="s">
        <v>10</v>
      </c>
      <c r="B10" s="7" t="s">
        <v>11</v>
      </c>
      <c r="C10" s="7" t="s">
        <v>12</v>
      </c>
    </row>
    <row r="11" ht="38" customHeight="1" spans="1:3" x14ac:dyDescent="0.25">
      <c r="A11" s="7" t="s">
        <v>13</v>
      </c>
      <c r="B11" s="7" t="s">
        <v>14</v>
      </c>
      <c r="C11" s="7" t="s">
        <v>15</v>
      </c>
    </row>
    <row r="12" ht="38" customHeight="1" spans="1:3" x14ac:dyDescent="0.25">
      <c r="A12" s="7" t="s">
        <v>16</v>
      </c>
      <c r="B12" s="7" t="s">
        <v>17</v>
      </c>
      <c r="C12" s="7" t="s">
        <v>18</v>
      </c>
    </row>
    <row r="13" ht="38" customHeight="1" spans="1:3" x14ac:dyDescent="0.25">
      <c r="A13" s="7" t="s">
        <v>19</v>
      </c>
      <c r="B13" s="7" t="s">
        <v>20</v>
      </c>
      <c r="C13" s="7" t="s">
        <v>21</v>
      </c>
    </row>
    <row r="15" ht="28" customHeight="1" spans="1:2" s="5" customFormat="1" x14ac:dyDescent="0.25">
      <c r="A15" s="6" t="s">
        <v>22</v>
      </c>
      <c r="B15" s="6" t="s">
        <v>23</v>
      </c>
    </row>
    <row r="16" spans="1:2" x14ac:dyDescent="0.25">
      <c r="A16" s="7" t="s">
        <v>24</v>
      </c>
      <c r="B16" s="7" t="s">
        <v>25</v>
      </c>
    </row>
    <row r="17" spans="1:2" x14ac:dyDescent="0.25">
      <c r="A17" s="7" t="s">
        <v>26</v>
      </c>
      <c r="B17" s="7" t="s">
        <v>27</v>
      </c>
    </row>
    <row r="18" spans="1:2" x14ac:dyDescent="0.25">
      <c r="A18" s="7" t="s">
        <v>28</v>
      </c>
      <c r="B18" s="7" t="s">
        <v>29</v>
      </c>
    </row>
    <row r="19" spans="1:2" x14ac:dyDescent="0.25">
      <c r="A19" s="7" t="s">
        <v>30</v>
      </c>
      <c r="B19" s="7" t="s">
        <v>31</v>
      </c>
    </row>
  </sheetData>
  <mergeCells count="3">
    <mergeCell ref="A1:F1"/>
    <mergeCell ref="A2:F2"/>
    <mergeCell ref="A5:F6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8" customWidth="1"/>
    <col min="2" max="2" width="29" customWidth="1"/>
    <col min="3" max="3" width="22" customWidth="1"/>
    <col min="4" max="4" width="20" customWidth="1"/>
    <col min="5" max="5" width="21" customWidth="1"/>
    <col min="6" max="6" width="14" customWidth="1"/>
    <col min="7" max="9" width="17" customWidth="1"/>
    <col min="10" max="10" width="18" customWidth="1"/>
    <col min="11" max="11" width="25" customWidth="1"/>
    <col min="12" max="12" width="38" customWidth="1"/>
  </cols>
  <sheetData>
    <row r="1" ht="28" customHeight="1" spans="1:12" s="5" customFormat="1" x14ac:dyDescent="0.25">
      <c r="A1" s="9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</row>
    <row r="2" spans="1:12" x14ac:dyDescent="0.25">
      <c r="A2" s="8">
        <v>46268.5</v>
      </c>
      <c r="B2" t="s">
        <v>44</v>
      </c>
      <c r="C2" t="s">
        <v>45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47</v>
      </c>
      <c r="J2" t="b">
        <v>1</v>
      </c>
      <c r="K2" t="s">
        <v>48</v>
      </c>
      <c r="L2" t="s">
        <v>49</v>
      </c>
    </row>
    <row r="3" spans="1:12" x14ac:dyDescent="0.25">
      <c r="A3" s="8">
        <v>46268.50001157407</v>
      </c>
      <c r="B3" t="s">
        <v>50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47</v>
      </c>
      <c r="J3" t="b">
        <v>1</v>
      </c>
      <c r="K3" t="s">
        <v>48</v>
      </c>
      <c r="L3" t="s">
        <v>49</v>
      </c>
    </row>
    <row r="4" spans="1:12" x14ac:dyDescent="0.25">
      <c r="A4" s="8">
        <v>46268.50071759259</v>
      </c>
      <c r="B4" t="s">
        <v>44</v>
      </c>
      <c r="C4" t="s">
        <v>51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52</v>
      </c>
      <c r="J4" t="b">
        <v>1</v>
      </c>
      <c r="K4" t="s">
        <v>48</v>
      </c>
      <c r="L4" t="s">
        <v>49</v>
      </c>
    </row>
    <row r="5" spans="1:12" x14ac:dyDescent="0.25">
      <c r="A5" s="8">
        <v>46268.50072916667</v>
      </c>
      <c r="B5" t="s">
        <v>50</v>
      </c>
      <c r="C5" t="s">
        <v>51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52</v>
      </c>
      <c r="J5" t="b">
        <v>1</v>
      </c>
      <c r="K5" t="s">
        <v>48</v>
      </c>
      <c r="L5" t="s">
        <v>49</v>
      </c>
    </row>
    <row r="6" spans="1:12" x14ac:dyDescent="0.25">
      <c r="A6" s="8">
        <v>46268.50074074074</v>
      </c>
      <c r="B6" t="s">
        <v>53</v>
      </c>
      <c r="C6" t="s">
        <v>51</v>
      </c>
      <c r="D6" t="s">
        <v>54</v>
      </c>
      <c r="E6" t="s">
        <v>55</v>
      </c>
      <c r="F6" t="s">
        <v>56</v>
      </c>
      <c r="G6" t="s">
        <v>57</v>
      </c>
      <c r="H6" t="s">
        <v>46</v>
      </c>
      <c r="I6" t="s">
        <v>52</v>
      </c>
      <c r="J6" t="b">
        <v>1</v>
      </c>
      <c r="K6" t="s">
        <v>48</v>
      </c>
      <c r="L6" t="s">
        <v>49</v>
      </c>
    </row>
    <row r="7" spans="1:12" x14ac:dyDescent="0.25">
      <c r="A7" s="8">
        <v>46268.500752314816</v>
      </c>
      <c r="B7" t="s">
        <v>58</v>
      </c>
      <c r="C7" t="s">
        <v>51</v>
      </c>
      <c r="D7" t="s">
        <v>54</v>
      </c>
      <c r="E7" t="s">
        <v>55</v>
      </c>
      <c r="F7" t="s">
        <v>56</v>
      </c>
      <c r="G7" t="s">
        <v>57</v>
      </c>
      <c r="H7" t="s">
        <v>46</v>
      </c>
      <c r="I7" t="s">
        <v>52</v>
      </c>
      <c r="J7" t="b">
        <v>1</v>
      </c>
      <c r="K7" t="s">
        <v>48</v>
      </c>
      <c r="L7" t="s">
        <v>49</v>
      </c>
    </row>
    <row r="8" spans="1:12" x14ac:dyDescent="0.25">
      <c r="A8" s="8">
        <v>46268.50076388889</v>
      </c>
      <c r="B8" t="s">
        <v>59</v>
      </c>
      <c r="C8" t="s">
        <v>51</v>
      </c>
      <c r="D8" t="s">
        <v>54</v>
      </c>
      <c r="E8" t="s">
        <v>55</v>
      </c>
      <c r="F8" t="s">
        <v>56</v>
      </c>
      <c r="G8" t="s">
        <v>57</v>
      </c>
      <c r="H8" t="s">
        <v>46</v>
      </c>
      <c r="I8" t="s">
        <v>52</v>
      </c>
      <c r="J8" t="b">
        <v>1</v>
      </c>
      <c r="K8" t="s">
        <v>48</v>
      </c>
      <c r="L8" t="s">
        <v>49</v>
      </c>
    </row>
    <row r="9" spans="1:12" x14ac:dyDescent="0.25">
      <c r="A9" s="8">
        <v>46268.50146990741</v>
      </c>
      <c r="B9" t="s">
        <v>44</v>
      </c>
      <c r="C9" t="s">
        <v>60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61</v>
      </c>
      <c r="J9" t="b">
        <v>1</v>
      </c>
      <c r="K9" t="s">
        <v>48</v>
      </c>
      <c r="L9" t="s">
        <v>49</v>
      </c>
    </row>
    <row r="10" spans="1:12" x14ac:dyDescent="0.25">
      <c r="A10" s="8">
        <v>46268.50148148148</v>
      </c>
      <c r="B10" t="s">
        <v>50</v>
      </c>
      <c r="C10" t="s">
        <v>60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61</v>
      </c>
      <c r="J10" t="b">
        <v>1</v>
      </c>
      <c r="K10" t="s">
        <v>48</v>
      </c>
      <c r="L10" t="s">
        <v>49</v>
      </c>
    </row>
    <row r="11" spans="1:12" x14ac:dyDescent="0.25">
      <c r="A11" s="8">
        <v>46268.501493055555</v>
      </c>
      <c r="B11" t="s">
        <v>53</v>
      </c>
      <c r="C11" t="s">
        <v>60</v>
      </c>
      <c r="D11" t="s">
        <v>62</v>
      </c>
      <c r="E11" t="s">
        <v>63</v>
      </c>
      <c r="F11" t="s">
        <v>56</v>
      </c>
      <c r="G11" t="s">
        <v>64</v>
      </c>
      <c r="H11" t="s">
        <v>46</v>
      </c>
      <c r="I11" t="s">
        <v>61</v>
      </c>
      <c r="J11" t="b">
        <v>1</v>
      </c>
      <c r="K11" t="s">
        <v>48</v>
      </c>
      <c r="L11" t="s">
        <v>49</v>
      </c>
    </row>
    <row r="12" spans="1:12" x14ac:dyDescent="0.25">
      <c r="A12" s="8">
        <v>46268.50150462963</v>
      </c>
      <c r="B12" t="s">
        <v>58</v>
      </c>
      <c r="C12" t="s">
        <v>60</v>
      </c>
      <c r="D12" t="s">
        <v>62</v>
      </c>
      <c r="E12" t="s">
        <v>63</v>
      </c>
      <c r="F12" t="s">
        <v>56</v>
      </c>
      <c r="G12" t="s">
        <v>64</v>
      </c>
      <c r="H12" t="s">
        <v>46</v>
      </c>
      <c r="I12" t="s">
        <v>61</v>
      </c>
      <c r="J12" t="b">
        <v>1</v>
      </c>
      <c r="K12" t="s">
        <v>48</v>
      </c>
      <c r="L12" t="s">
        <v>49</v>
      </c>
    </row>
    <row r="13" spans="1:12" x14ac:dyDescent="0.25">
      <c r="A13" s="8">
        <v>46268.5015162037</v>
      </c>
      <c r="B13" t="s">
        <v>59</v>
      </c>
      <c r="C13" t="s">
        <v>60</v>
      </c>
      <c r="D13" t="s">
        <v>62</v>
      </c>
      <c r="E13" t="s">
        <v>63</v>
      </c>
      <c r="F13" t="s">
        <v>56</v>
      </c>
      <c r="G13" t="s">
        <v>64</v>
      </c>
      <c r="H13" t="s">
        <v>46</v>
      </c>
      <c r="I13" t="s">
        <v>61</v>
      </c>
      <c r="J13" t="b">
        <v>1</v>
      </c>
      <c r="K13" t="s">
        <v>48</v>
      </c>
      <c r="L13" t="s">
        <v>49</v>
      </c>
    </row>
    <row r="14" spans="1:12" x14ac:dyDescent="0.25">
      <c r="A14" s="8">
        <v>46268.50222222222</v>
      </c>
      <c r="B14" t="s">
        <v>44</v>
      </c>
      <c r="C14" t="s">
        <v>65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66</v>
      </c>
      <c r="J14" t="b">
        <v>1</v>
      </c>
      <c r="K14" t="s">
        <v>48</v>
      </c>
      <c r="L14" t="s">
        <v>49</v>
      </c>
    </row>
    <row r="15" spans="1:12" x14ac:dyDescent="0.25">
      <c r="A15" s="8">
        <v>46268.502233796295</v>
      </c>
      <c r="B15" t="s">
        <v>50</v>
      </c>
      <c r="C15" t="s">
        <v>65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66</v>
      </c>
      <c r="J15" t="b">
        <v>1</v>
      </c>
      <c r="K15" t="s">
        <v>48</v>
      </c>
      <c r="L15" t="s">
        <v>49</v>
      </c>
    </row>
    <row r="16" spans="1:12" x14ac:dyDescent="0.25">
      <c r="A16" s="8">
        <v>46268.50224537037</v>
      </c>
      <c r="B16" t="s">
        <v>53</v>
      </c>
      <c r="C16" t="s">
        <v>65</v>
      </c>
      <c r="D16" t="s">
        <v>67</v>
      </c>
      <c r="E16" t="s">
        <v>68</v>
      </c>
      <c r="F16" t="s">
        <v>69</v>
      </c>
      <c r="G16" t="s">
        <v>57</v>
      </c>
      <c r="H16" t="s">
        <v>46</v>
      </c>
      <c r="I16" t="s">
        <v>66</v>
      </c>
      <c r="J16" t="b">
        <v>1</v>
      </c>
      <c r="K16" t="s">
        <v>48</v>
      </c>
      <c r="L16" t="s">
        <v>49</v>
      </c>
    </row>
    <row r="17" spans="1:12" x14ac:dyDescent="0.25">
      <c r="A17" s="8">
        <v>46268.50225694444</v>
      </c>
      <c r="B17" t="s">
        <v>58</v>
      </c>
      <c r="C17" t="s">
        <v>65</v>
      </c>
      <c r="D17" t="s">
        <v>67</v>
      </c>
      <c r="E17" t="s">
        <v>68</v>
      </c>
      <c r="F17" t="s">
        <v>69</v>
      </c>
      <c r="G17" t="s">
        <v>57</v>
      </c>
      <c r="H17" t="s">
        <v>46</v>
      </c>
      <c r="I17" t="s">
        <v>66</v>
      </c>
      <c r="J17" t="b">
        <v>1</v>
      </c>
      <c r="K17" t="s">
        <v>48</v>
      </c>
      <c r="L17" t="s">
        <v>49</v>
      </c>
    </row>
    <row r="18" spans="1:12" x14ac:dyDescent="0.25">
      <c r="A18" s="8">
        <v>46268.50226851852</v>
      </c>
      <c r="B18" t="s">
        <v>70</v>
      </c>
      <c r="C18" t="s">
        <v>65</v>
      </c>
      <c r="D18" t="s">
        <v>67</v>
      </c>
      <c r="E18" t="s">
        <v>68</v>
      </c>
      <c r="F18" t="s">
        <v>69</v>
      </c>
      <c r="G18" t="s">
        <v>57</v>
      </c>
      <c r="H18" t="s">
        <v>71</v>
      </c>
      <c r="I18" t="s">
        <v>66</v>
      </c>
      <c r="J18" t="b">
        <v>1</v>
      </c>
      <c r="K18" t="s">
        <v>48</v>
      </c>
      <c r="L18" t="s">
        <v>49</v>
      </c>
    </row>
    <row r="19" spans="1:12" x14ac:dyDescent="0.25">
      <c r="A19" s="8">
        <v>46268.502280092594</v>
      </c>
      <c r="B19" t="s">
        <v>72</v>
      </c>
      <c r="C19" t="s">
        <v>65</v>
      </c>
      <c r="D19" t="s">
        <v>67</v>
      </c>
      <c r="E19" t="s">
        <v>68</v>
      </c>
      <c r="F19" t="s">
        <v>69</v>
      </c>
      <c r="G19" t="s">
        <v>57</v>
      </c>
      <c r="H19" t="s">
        <v>71</v>
      </c>
      <c r="I19" t="s">
        <v>66</v>
      </c>
      <c r="J19" t="b">
        <v>1</v>
      </c>
      <c r="K19" t="s">
        <v>48</v>
      </c>
      <c r="L19" t="s">
        <v>49</v>
      </c>
    </row>
    <row r="20" spans="1:12" x14ac:dyDescent="0.25">
      <c r="A20" s="8">
        <v>46268.50298611111</v>
      </c>
      <c r="B20" t="s">
        <v>44</v>
      </c>
      <c r="C20" t="s">
        <v>73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47</v>
      </c>
      <c r="J20" t="b">
        <v>1</v>
      </c>
      <c r="K20" t="s">
        <v>48</v>
      </c>
      <c r="L20" t="s">
        <v>49</v>
      </c>
    </row>
    <row r="21" spans="1:12" x14ac:dyDescent="0.25">
      <c r="A21" s="8">
        <v>46268.50299768518</v>
      </c>
      <c r="B21" t="s">
        <v>50</v>
      </c>
      <c r="C21" t="s">
        <v>73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47</v>
      </c>
      <c r="J21" t="b">
        <v>1</v>
      </c>
      <c r="K21" t="s">
        <v>48</v>
      </c>
      <c r="L21" t="s">
        <v>49</v>
      </c>
    </row>
    <row r="22" spans="1:12" x14ac:dyDescent="0.25">
      <c r="A22" s="8">
        <v>46268.503009259264</v>
      </c>
      <c r="B22" t="s">
        <v>53</v>
      </c>
      <c r="C22" t="s">
        <v>73</v>
      </c>
      <c r="D22" t="s">
        <v>74</v>
      </c>
      <c r="E22" t="s">
        <v>75</v>
      </c>
      <c r="F22" t="s">
        <v>76</v>
      </c>
      <c r="G22" t="s">
        <v>64</v>
      </c>
      <c r="H22" t="s">
        <v>46</v>
      </c>
      <c r="I22" t="s">
        <v>47</v>
      </c>
      <c r="J22" t="b">
        <v>1</v>
      </c>
      <c r="K22" t="s">
        <v>48</v>
      </c>
      <c r="L22" t="s">
        <v>49</v>
      </c>
    </row>
    <row r="23" spans="1:12" x14ac:dyDescent="0.25">
      <c r="A23" s="8">
        <v>46268.503020833334</v>
      </c>
      <c r="B23" t="s">
        <v>58</v>
      </c>
      <c r="C23" t="s">
        <v>73</v>
      </c>
      <c r="D23" t="s">
        <v>74</v>
      </c>
      <c r="E23" t="s">
        <v>75</v>
      </c>
      <c r="F23" t="s">
        <v>76</v>
      </c>
      <c r="G23" t="s">
        <v>64</v>
      </c>
      <c r="H23" t="s">
        <v>46</v>
      </c>
      <c r="I23" t="s">
        <v>47</v>
      </c>
      <c r="J23" t="b">
        <v>1</v>
      </c>
      <c r="K23" t="s">
        <v>48</v>
      </c>
      <c r="L23" t="s">
        <v>49</v>
      </c>
    </row>
    <row r="24" spans="1:12" x14ac:dyDescent="0.25">
      <c r="A24" s="8">
        <v>46268.5030324074</v>
      </c>
      <c r="B24" t="s">
        <v>70</v>
      </c>
      <c r="C24" t="s">
        <v>73</v>
      </c>
      <c r="D24" t="s">
        <v>74</v>
      </c>
      <c r="E24" t="s">
        <v>75</v>
      </c>
      <c r="F24" t="s">
        <v>76</v>
      </c>
      <c r="G24" t="s">
        <v>64</v>
      </c>
      <c r="H24" t="s">
        <v>71</v>
      </c>
      <c r="I24" t="s">
        <v>47</v>
      </c>
      <c r="J24" t="b">
        <v>1</v>
      </c>
      <c r="K24" t="s">
        <v>48</v>
      </c>
      <c r="L24" t="s">
        <v>49</v>
      </c>
    </row>
    <row r="25" spans="1:12" x14ac:dyDescent="0.25">
      <c r="A25" s="8">
        <v>46268.50304398148</v>
      </c>
      <c r="B25" t="s">
        <v>72</v>
      </c>
      <c r="C25" t="s">
        <v>73</v>
      </c>
      <c r="D25" t="s">
        <v>74</v>
      </c>
      <c r="E25" t="s">
        <v>75</v>
      </c>
      <c r="F25" t="s">
        <v>76</v>
      </c>
      <c r="G25" t="s">
        <v>64</v>
      </c>
      <c r="H25" t="s">
        <v>71</v>
      </c>
      <c r="I25" t="s">
        <v>47</v>
      </c>
      <c r="J25" t="b">
        <v>1</v>
      </c>
      <c r="K25" t="s">
        <v>48</v>
      </c>
      <c r="L25" t="s">
        <v>49</v>
      </c>
    </row>
    <row r="26" spans="1:12" x14ac:dyDescent="0.25">
      <c r="A26" s="8">
        <v>46268.50375</v>
      </c>
      <c r="B26" t="s">
        <v>44</v>
      </c>
      <c r="C26" t="s">
        <v>77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52</v>
      </c>
      <c r="J26" t="b">
        <v>1</v>
      </c>
      <c r="K26" t="s">
        <v>48</v>
      </c>
      <c r="L26" t="s">
        <v>49</v>
      </c>
    </row>
    <row r="27" spans="1:12" x14ac:dyDescent="0.25">
      <c r="A27" s="8">
        <v>46268.50376157407</v>
      </c>
      <c r="B27" t="s">
        <v>50</v>
      </c>
      <c r="C27" t="s">
        <v>77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52</v>
      </c>
      <c r="J27" t="b">
        <v>1</v>
      </c>
      <c r="K27" t="s">
        <v>48</v>
      </c>
      <c r="L27" t="s">
        <v>49</v>
      </c>
    </row>
    <row r="28" spans="1:12" x14ac:dyDescent="0.25">
      <c r="A28" s="8">
        <v>46268.50377314815</v>
      </c>
      <c r="B28" t="s">
        <v>53</v>
      </c>
      <c r="C28" t="s">
        <v>77</v>
      </c>
      <c r="D28" t="s">
        <v>78</v>
      </c>
      <c r="E28" t="s">
        <v>79</v>
      </c>
      <c r="F28" t="s">
        <v>56</v>
      </c>
      <c r="G28" t="s">
        <v>57</v>
      </c>
      <c r="H28" t="s">
        <v>46</v>
      </c>
      <c r="I28" t="s">
        <v>52</v>
      </c>
      <c r="J28" t="b">
        <v>1</v>
      </c>
      <c r="K28" t="s">
        <v>48</v>
      </c>
      <c r="L28" t="s">
        <v>49</v>
      </c>
    </row>
    <row r="29" spans="1:12" x14ac:dyDescent="0.25">
      <c r="A29" s="8">
        <v>46268.50378472223</v>
      </c>
      <c r="B29" t="s">
        <v>58</v>
      </c>
      <c r="C29" t="s">
        <v>77</v>
      </c>
      <c r="D29" t="s">
        <v>78</v>
      </c>
      <c r="E29" t="s">
        <v>79</v>
      </c>
      <c r="F29" t="s">
        <v>56</v>
      </c>
      <c r="G29" t="s">
        <v>57</v>
      </c>
      <c r="H29" t="s">
        <v>46</v>
      </c>
      <c r="I29" t="s">
        <v>52</v>
      </c>
      <c r="J29" t="b">
        <v>1</v>
      </c>
      <c r="K29" t="s">
        <v>48</v>
      </c>
      <c r="L29" t="s">
        <v>49</v>
      </c>
    </row>
    <row r="30" spans="1:12" x14ac:dyDescent="0.25">
      <c r="A30" s="8">
        <v>46268.503796296296</v>
      </c>
      <c r="B30" t="s">
        <v>70</v>
      </c>
      <c r="C30" t="s">
        <v>77</v>
      </c>
      <c r="D30" t="s">
        <v>78</v>
      </c>
      <c r="E30" t="s">
        <v>79</v>
      </c>
      <c r="F30" t="s">
        <v>56</v>
      </c>
      <c r="G30" t="s">
        <v>57</v>
      </c>
      <c r="H30" t="s">
        <v>71</v>
      </c>
      <c r="I30" t="s">
        <v>52</v>
      </c>
      <c r="J30" t="b">
        <v>1</v>
      </c>
      <c r="K30" t="s">
        <v>48</v>
      </c>
      <c r="L30" t="s">
        <v>49</v>
      </c>
    </row>
    <row r="31" spans="1:12" x14ac:dyDescent="0.25">
      <c r="A31" s="8">
        <v>46268.503807870366</v>
      </c>
      <c r="B31" t="s">
        <v>80</v>
      </c>
      <c r="C31" t="s">
        <v>77</v>
      </c>
      <c r="D31" t="s">
        <v>78</v>
      </c>
      <c r="E31" t="s">
        <v>79</v>
      </c>
      <c r="F31" t="s">
        <v>56</v>
      </c>
      <c r="G31" t="s">
        <v>57</v>
      </c>
      <c r="H31" t="s">
        <v>81</v>
      </c>
      <c r="I31" t="s">
        <v>52</v>
      </c>
      <c r="J31" t="b">
        <v>1</v>
      </c>
      <c r="K31" t="s">
        <v>48</v>
      </c>
      <c r="L31" t="s">
        <v>49</v>
      </c>
    </row>
    <row r="32" spans="1:12" x14ac:dyDescent="0.25">
      <c r="A32" s="8">
        <v>46268.50381944445</v>
      </c>
      <c r="B32" t="s">
        <v>72</v>
      </c>
      <c r="C32" t="s">
        <v>77</v>
      </c>
      <c r="D32" t="s">
        <v>78</v>
      </c>
      <c r="E32" t="s">
        <v>79</v>
      </c>
      <c r="F32" t="s">
        <v>56</v>
      </c>
      <c r="G32" t="s">
        <v>57</v>
      </c>
      <c r="H32" t="s">
        <v>81</v>
      </c>
      <c r="I32" t="s">
        <v>52</v>
      </c>
      <c r="J32" t="b">
        <v>1</v>
      </c>
      <c r="K32" t="s">
        <v>48</v>
      </c>
      <c r="L32" t="s">
        <v>49</v>
      </c>
    </row>
    <row r="33" spans="1:12" x14ac:dyDescent="0.25">
      <c r="A33" s="8">
        <v>46268.504525462966</v>
      </c>
      <c r="B33" t="s">
        <v>44</v>
      </c>
      <c r="C33" t="s">
        <v>82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61</v>
      </c>
      <c r="J33" t="b">
        <v>1</v>
      </c>
      <c r="K33" t="s">
        <v>48</v>
      </c>
      <c r="L33" t="s">
        <v>49</v>
      </c>
    </row>
    <row r="34" spans="1:12" x14ac:dyDescent="0.25">
      <c r="A34" s="8">
        <v>46268.504537037035</v>
      </c>
      <c r="B34" t="s">
        <v>50</v>
      </c>
      <c r="C34" t="s">
        <v>82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61</v>
      </c>
      <c r="J34" t="b">
        <v>1</v>
      </c>
      <c r="K34" t="s">
        <v>48</v>
      </c>
      <c r="L34" t="s">
        <v>49</v>
      </c>
    </row>
    <row r="35" spans="1:12" x14ac:dyDescent="0.25">
      <c r="A35" s="8">
        <v>46268.50454861111</v>
      </c>
      <c r="B35" t="s">
        <v>53</v>
      </c>
      <c r="C35" t="s">
        <v>82</v>
      </c>
      <c r="D35" t="s">
        <v>83</v>
      </c>
      <c r="E35" t="s">
        <v>84</v>
      </c>
      <c r="F35" t="s">
        <v>56</v>
      </c>
      <c r="G35" t="s">
        <v>64</v>
      </c>
      <c r="H35" t="s">
        <v>46</v>
      </c>
      <c r="I35" t="s">
        <v>61</v>
      </c>
      <c r="J35" t="b">
        <v>1</v>
      </c>
      <c r="K35" t="s">
        <v>48</v>
      </c>
      <c r="L35" t="s">
        <v>49</v>
      </c>
    </row>
    <row r="36" spans="1:12" x14ac:dyDescent="0.25">
      <c r="A36" s="8">
        <v>46268.50456018519</v>
      </c>
      <c r="B36" t="s">
        <v>58</v>
      </c>
      <c r="C36" t="s">
        <v>82</v>
      </c>
      <c r="D36" t="s">
        <v>83</v>
      </c>
      <c r="E36" t="s">
        <v>84</v>
      </c>
      <c r="F36" t="s">
        <v>56</v>
      </c>
      <c r="G36" t="s">
        <v>64</v>
      </c>
      <c r="H36" t="s">
        <v>46</v>
      </c>
      <c r="I36" t="s">
        <v>61</v>
      </c>
      <c r="J36" t="b">
        <v>1</v>
      </c>
      <c r="K36" t="s">
        <v>48</v>
      </c>
      <c r="L36" t="s">
        <v>49</v>
      </c>
    </row>
    <row r="37" spans="1:12" x14ac:dyDescent="0.25">
      <c r="A37" s="8">
        <v>46268.50457175926</v>
      </c>
      <c r="B37" t="s">
        <v>70</v>
      </c>
      <c r="C37" t="s">
        <v>82</v>
      </c>
      <c r="D37" t="s">
        <v>83</v>
      </c>
      <c r="E37" t="s">
        <v>84</v>
      </c>
      <c r="F37" t="s">
        <v>56</v>
      </c>
      <c r="G37" t="s">
        <v>64</v>
      </c>
      <c r="H37" t="s">
        <v>71</v>
      </c>
      <c r="I37" t="s">
        <v>61</v>
      </c>
      <c r="J37" t="b">
        <v>1</v>
      </c>
      <c r="K37" t="s">
        <v>48</v>
      </c>
      <c r="L37" t="s">
        <v>49</v>
      </c>
    </row>
    <row r="38" spans="1:12" x14ac:dyDescent="0.25">
      <c r="A38" s="8">
        <v>46268.50458333333</v>
      </c>
      <c r="B38" t="s">
        <v>80</v>
      </c>
      <c r="C38" t="s">
        <v>82</v>
      </c>
      <c r="D38" t="s">
        <v>83</v>
      </c>
      <c r="E38" t="s">
        <v>84</v>
      </c>
      <c r="F38" t="s">
        <v>56</v>
      </c>
      <c r="G38" t="s">
        <v>64</v>
      </c>
      <c r="H38" t="s">
        <v>81</v>
      </c>
      <c r="I38" t="s">
        <v>61</v>
      </c>
      <c r="J38" t="b">
        <v>1</v>
      </c>
      <c r="K38" t="s">
        <v>48</v>
      </c>
      <c r="L38" t="s">
        <v>49</v>
      </c>
    </row>
    <row r="39" spans="1:12" x14ac:dyDescent="0.25">
      <c r="A39" s="8">
        <v>46268.50459490741</v>
      </c>
      <c r="B39" t="s">
        <v>85</v>
      </c>
      <c r="C39" t="s">
        <v>82</v>
      </c>
      <c r="D39" t="s">
        <v>83</v>
      </c>
      <c r="E39" t="s">
        <v>84</v>
      </c>
      <c r="F39" t="s">
        <v>56</v>
      </c>
      <c r="G39" t="s">
        <v>64</v>
      </c>
      <c r="H39" t="s">
        <v>86</v>
      </c>
      <c r="I39" t="s">
        <v>61</v>
      </c>
      <c r="J39" t="b">
        <v>1</v>
      </c>
      <c r="K39" t="s">
        <v>48</v>
      </c>
      <c r="L39" t="s">
        <v>49</v>
      </c>
    </row>
    <row r="40" spans="1:12" x14ac:dyDescent="0.25">
      <c r="A40" s="8">
        <v>46268.50530092593</v>
      </c>
      <c r="B40" t="s">
        <v>44</v>
      </c>
      <c r="C40" t="s">
        <v>87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66</v>
      </c>
      <c r="J40" t="b">
        <v>1</v>
      </c>
      <c r="K40" t="s">
        <v>48</v>
      </c>
      <c r="L40" t="s">
        <v>49</v>
      </c>
    </row>
    <row r="41" spans="1:12" x14ac:dyDescent="0.25">
      <c r="A41" s="8">
        <v>46268.5053125</v>
      </c>
      <c r="B41" t="s">
        <v>50</v>
      </c>
      <c r="C41" t="s">
        <v>87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66</v>
      </c>
      <c r="J41" t="b">
        <v>1</v>
      </c>
      <c r="K41" t="s">
        <v>48</v>
      </c>
      <c r="L41" t="s">
        <v>49</v>
      </c>
    </row>
    <row r="42" spans="1:12" x14ac:dyDescent="0.25">
      <c r="A42" s="8">
        <v>46268.505324074074</v>
      </c>
      <c r="B42" t="s">
        <v>53</v>
      </c>
      <c r="C42" t="s">
        <v>87</v>
      </c>
      <c r="D42" t="s">
        <v>54</v>
      </c>
      <c r="E42" t="s">
        <v>55</v>
      </c>
      <c r="F42" t="s">
        <v>56</v>
      </c>
      <c r="G42" t="s">
        <v>57</v>
      </c>
      <c r="H42" t="s">
        <v>46</v>
      </c>
      <c r="I42" t="s">
        <v>66</v>
      </c>
      <c r="J42" t="b">
        <v>1</v>
      </c>
      <c r="K42" t="s">
        <v>48</v>
      </c>
      <c r="L42" t="s">
        <v>49</v>
      </c>
    </row>
    <row r="43" spans="1:12" x14ac:dyDescent="0.25">
      <c r="A43" s="8">
        <v>46268.50533564815</v>
      </c>
      <c r="B43" t="s">
        <v>58</v>
      </c>
      <c r="C43" t="s">
        <v>87</v>
      </c>
      <c r="D43" t="s">
        <v>54</v>
      </c>
      <c r="E43" t="s">
        <v>55</v>
      </c>
      <c r="F43" t="s">
        <v>56</v>
      </c>
      <c r="G43" t="s">
        <v>57</v>
      </c>
      <c r="H43" t="s">
        <v>46</v>
      </c>
      <c r="I43" t="s">
        <v>66</v>
      </c>
      <c r="J43" t="b">
        <v>1</v>
      </c>
      <c r="K43" t="s">
        <v>48</v>
      </c>
      <c r="L43" t="s">
        <v>49</v>
      </c>
    </row>
    <row r="44" spans="1:12" x14ac:dyDescent="0.25">
      <c r="A44" s="8">
        <v>46268.50534722222</v>
      </c>
      <c r="B44" t="s">
        <v>70</v>
      </c>
      <c r="C44" t="s">
        <v>87</v>
      </c>
      <c r="D44" t="s">
        <v>54</v>
      </c>
      <c r="E44" t="s">
        <v>55</v>
      </c>
      <c r="F44" t="s">
        <v>56</v>
      </c>
      <c r="G44" t="s">
        <v>57</v>
      </c>
      <c r="H44" t="s">
        <v>71</v>
      </c>
      <c r="I44" t="s">
        <v>66</v>
      </c>
      <c r="J44" t="b">
        <v>1</v>
      </c>
      <c r="K44" t="s">
        <v>48</v>
      </c>
      <c r="L44" t="s">
        <v>49</v>
      </c>
    </row>
    <row r="45" spans="1:12" x14ac:dyDescent="0.25">
      <c r="A45" s="8">
        <v>46268.5053587963</v>
      </c>
      <c r="B45" t="s">
        <v>80</v>
      </c>
      <c r="C45" t="s">
        <v>87</v>
      </c>
      <c r="D45" t="s">
        <v>54</v>
      </c>
      <c r="E45" t="s">
        <v>55</v>
      </c>
      <c r="F45" t="s">
        <v>56</v>
      </c>
      <c r="G45" t="s">
        <v>57</v>
      </c>
      <c r="H45" t="s">
        <v>81</v>
      </c>
      <c r="I45" t="s">
        <v>66</v>
      </c>
      <c r="J45" t="b">
        <v>1</v>
      </c>
      <c r="K45" t="s">
        <v>48</v>
      </c>
      <c r="L45" t="s">
        <v>49</v>
      </c>
    </row>
    <row r="46" spans="1:12" x14ac:dyDescent="0.25">
      <c r="A46" s="8">
        <v>46268.505370370374</v>
      </c>
      <c r="B46" t="s">
        <v>85</v>
      </c>
      <c r="C46" t="s">
        <v>87</v>
      </c>
      <c r="D46" t="s">
        <v>54</v>
      </c>
      <c r="E46" t="s">
        <v>55</v>
      </c>
      <c r="F46" t="s">
        <v>56</v>
      </c>
      <c r="G46" t="s">
        <v>57</v>
      </c>
      <c r="H46" t="s">
        <v>86</v>
      </c>
      <c r="I46" t="s">
        <v>66</v>
      </c>
      <c r="J46" t="b">
        <v>1</v>
      </c>
      <c r="K46" t="s">
        <v>48</v>
      </c>
      <c r="L46" t="s">
        <v>49</v>
      </c>
    </row>
    <row r="47" spans="1:12" x14ac:dyDescent="0.25">
      <c r="A47" s="8">
        <v>46268.50607638889</v>
      </c>
      <c r="B47" t="s">
        <v>44</v>
      </c>
      <c r="C47" t="s">
        <v>88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47</v>
      </c>
      <c r="J47" t="b">
        <v>1</v>
      </c>
      <c r="K47" t="s">
        <v>48</v>
      </c>
      <c r="L47" t="s">
        <v>49</v>
      </c>
    </row>
    <row r="48" spans="1:12" x14ac:dyDescent="0.25">
      <c r="A48" s="8">
        <v>46268.50608796296</v>
      </c>
      <c r="B48" t="s">
        <v>50</v>
      </c>
      <c r="C48" t="s">
        <v>88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47</v>
      </c>
      <c r="J48" t="b">
        <v>1</v>
      </c>
      <c r="K48" t="s">
        <v>48</v>
      </c>
      <c r="L48" t="s">
        <v>49</v>
      </c>
    </row>
    <row r="49" spans="1:12" x14ac:dyDescent="0.25">
      <c r="A49" s="8">
        <v>46268.506793981476</v>
      </c>
      <c r="B49" t="s">
        <v>44</v>
      </c>
      <c r="C49" t="s">
        <v>89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52</v>
      </c>
      <c r="J49" t="b">
        <v>1</v>
      </c>
      <c r="K49" t="s">
        <v>48</v>
      </c>
      <c r="L49" t="s">
        <v>49</v>
      </c>
    </row>
    <row r="50" spans="1:12" x14ac:dyDescent="0.25">
      <c r="A50" s="8">
        <v>46268.50680555556</v>
      </c>
      <c r="B50" t="s">
        <v>50</v>
      </c>
      <c r="C50" t="s">
        <v>89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t="s">
        <v>52</v>
      </c>
      <c r="J50" t="b">
        <v>1</v>
      </c>
      <c r="K50" t="s">
        <v>48</v>
      </c>
      <c r="L50" t="s">
        <v>49</v>
      </c>
    </row>
    <row r="51" spans="1:12" x14ac:dyDescent="0.25">
      <c r="A51" s="8">
        <v>46268.50681712963</v>
      </c>
      <c r="B51" t="s">
        <v>53</v>
      </c>
      <c r="C51" t="s">
        <v>89</v>
      </c>
      <c r="D51" t="s">
        <v>67</v>
      </c>
      <c r="E51" t="s">
        <v>68</v>
      </c>
      <c r="F51" t="s">
        <v>69</v>
      </c>
      <c r="G51" t="s">
        <v>57</v>
      </c>
      <c r="H51" t="s">
        <v>46</v>
      </c>
      <c r="I51" t="s">
        <v>52</v>
      </c>
      <c r="J51" t="b">
        <v>1</v>
      </c>
      <c r="K51" t="s">
        <v>48</v>
      </c>
      <c r="L51" t="s">
        <v>49</v>
      </c>
    </row>
    <row r="52" spans="1:12" x14ac:dyDescent="0.25">
      <c r="A52" s="8">
        <v>46268.5068287037</v>
      </c>
      <c r="B52" t="s">
        <v>58</v>
      </c>
      <c r="C52" t="s">
        <v>89</v>
      </c>
      <c r="D52" t="s">
        <v>67</v>
      </c>
      <c r="E52" t="s">
        <v>68</v>
      </c>
      <c r="F52" t="s">
        <v>69</v>
      </c>
      <c r="G52" t="s">
        <v>57</v>
      </c>
      <c r="H52" t="s">
        <v>46</v>
      </c>
      <c r="I52" t="s">
        <v>52</v>
      </c>
      <c r="J52" t="b">
        <v>1</v>
      </c>
      <c r="K52" t="s">
        <v>48</v>
      </c>
      <c r="L52" t="s">
        <v>49</v>
      </c>
    </row>
    <row r="53" spans="1:12" x14ac:dyDescent="0.25">
      <c r="A53" s="8">
        <v>46268.506840277776</v>
      </c>
      <c r="B53" t="s">
        <v>59</v>
      </c>
      <c r="C53" t="s">
        <v>89</v>
      </c>
      <c r="D53" t="s">
        <v>67</v>
      </c>
      <c r="E53" t="s">
        <v>68</v>
      </c>
      <c r="F53" t="s">
        <v>69</v>
      </c>
      <c r="G53" t="s">
        <v>57</v>
      </c>
      <c r="H53" t="s">
        <v>46</v>
      </c>
      <c r="I53" t="s">
        <v>52</v>
      </c>
      <c r="J53" t="b">
        <v>1</v>
      </c>
      <c r="K53" t="s">
        <v>48</v>
      </c>
      <c r="L53" t="s">
        <v>49</v>
      </c>
    </row>
    <row r="54" spans="1:12" x14ac:dyDescent="0.25">
      <c r="A54" s="8">
        <v>46268.5075462963</v>
      </c>
      <c r="B54" t="s">
        <v>44</v>
      </c>
      <c r="C54" t="s">
        <v>90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61</v>
      </c>
      <c r="J54" t="b">
        <v>1</v>
      </c>
      <c r="K54" t="s">
        <v>48</v>
      </c>
      <c r="L54" t="s">
        <v>49</v>
      </c>
    </row>
    <row r="55" spans="1:12" x14ac:dyDescent="0.25">
      <c r="A55" s="8">
        <v>46268.50755787037</v>
      </c>
      <c r="B55" t="s">
        <v>50</v>
      </c>
      <c r="C55" t="s">
        <v>90</v>
      </c>
      <c r="D55" t="s">
        <v>46</v>
      </c>
      <c r="E55" t="s">
        <v>46</v>
      </c>
      <c r="F55" t="s">
        <v>46</v>
      </c>
      <c r="G55" t="s">
        <v>46</v>
      </c>
      <c r="H55" t="s">
        <v>46</v>
      </c>
      <c r="I55" t="s">
        <v>61</v>
      </c>
      <c r="J55" t="b">
        <v>1</v>
      </c>
      <c r="K55" t="s">
        <v>48</v>
      </c>
      <c r="L55" t="s">
        <v>49</v>
      </c>
    </row>
    <row r="56" spans="1:12" x14ac:dyDescent="0.25">
      <c r="A56" s="8">
        <v>46268.507569444446</v>
      </c>
      <c r="B56" t="s">
        <v>53</v>
      </c>
      <c r="C56" t="s">
        <v>90</v>
      </c>
      <c r="D56" t="s">
        <v>74</v>
      </c>
      <c r="E56" t="s">
        <v>75</v>
      </c>
      <c r="F56" t="s">
        <v>76</v>
      </c>
      <c r="G56" t="s">
        <v>64</v>
      </c>
      <c r="H56" t="s">
        <v>46</v>
      </c>
      <c r="I56" t="s">
        <v>61</v>
      </c>
      <c r="J56" t="b">
        <v>1</v>
      </c>
      <c r="K56" t="s">
        <v>48</v>
      </c>
      <c r="L56" t="s">
        <v>49</v>
      </c>
    </row>
    <row r="57" spans="1:12" x14ac:dyDescent="0.25">
      <c r="A57" s="8">
        <v>46268.50758101852</v>
      </c>
      <c r="B57" t="s">
        <v>58</v>
      </c>
      <c r="C57" t="s">
        <v>90</v>
      </c>
      <c r="D57" t="s">
        <v>74</v>
      </c>
      <c r="E57" t="s">
        <v>75</v>
      </c>
      <c r="F57" t="s">
        <v>76</v>
      </c>
      <c r="G57" t="s">
        <v>64</v>
      </c>
      <c r="H57" t="s">
        <v>46</v>
      </c>
      <c r="I57" t="s">
        <v>61</v>
      </c>
      <c r="J57" t="b">
        <v>1</v>
      </c>
      <c r="K57" t="s">
        <v>48</v>
      </c>
      <c r="L57" t="s">
        <v>49</v>
      </c>
    </row>
    <row r="58" spans="1:12" x14ac:dyDescent="0.25">
      <c r="A58" s="8">
        <v>46268.50759259259</v>
      </c>
      <c r="B58" t="s">
        <v>59</v>
      </c>
      <c r="C58" t="s">
        <v>90</v>
      </c>
      <c r="D58" t="s">
        <v>74</v>
      </c>
      <c r="E58" t="s">
        <v>75</v>
      </c>
      <c r="F58" t="s">
        <v>76</v>
      </c>
      <c r="G58" t="s">
        <v>64</v>
      </c>
      <c r="H58" t="s">
        <v>46</v>
      </c>
      <c r="I58" t="s">
        <v>61</v>
      </c>
      <c r="J58" t="b">
        <v>1</v>
      </c>
      <c r="K58" t="s">
        <v>48</v>
      </c>
      <c r="L58" t="s">
        <v>49</v>
      </c>
    </row>
    <row r="59" spans="1:12" x14ac:dyDescent="0.25">
      <c r="A59" s="8">
        <v>46268.50829861111</v>
      </c>
      <c r="B59" t="s">
        <v>44</v>
      </c>
      <c r="C59" t="s">
        <v>91</v>
      </c>
      <c r="D59" t="s">
        <v>46</v>
      </c>
      <c r="E59" t="s">
        <v>46</v>
      </c>
      <c r="F59" t="s">
        <v>46</v>
      </c>
      <c r="G59" t="s">
        <v>46</v>
      </c>
      <c r="H59" t="s">
        <v>46</v>
      </c>
      <c r="I59" t="s">
        <v>66</v>
      </c>
      <c r="J59" t="b">
        <v>1</v>
      </c>
      <c r="K59" t="s">
        <v>48</v>
      </c>
      <c r="L59" t="s">
        <v>49</v>
      </c>
    </row>
    <row r="60" spans="1:12" x14ac:dyDescent="0.25">
      <c r="A60" s="8">
        <v>46268.508310185185</v>
      </c>
      <c r="B60" t="s">
        <v>50</v>
      </c>
      <c r="C60" t="s">
        <v>91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66</v>
      </c>
      <c r="J60" t="b">
        <v>1</v>
      </c>
      <c r="K60" t="s">
        <v>48</v>
      </c>
      <c r="L60" t="s">
        <v>49</v>
      </c>
    </row>
    <row r="61" spans="1:12" x14ac:dyDescent="0.25">
      <c r="A61" s="8">
        <v>46268.50832175926</v>
      </c>
      <c r="B61" t="s">
        <v>53</v>
      </c>
      <c r="C61" t="s">
        <v>91</v>
      </c>
      <c r="D61" t="s">
        <v>78</v>
      </c>
      <c r="E61" t="s">
        <v>79</v>
      </c>
      <c r="F61" t="s">
        <v>56</v>
      </c>
      <c r="G61" t="s">
        <v>57</v>
      </c>
      <c r="H61" t="s">
        <v>46</v>
      </c>
      <c r="I61" t="s">
        <v>66</v>
      </c>
      <c r="J61" t="b">
        <v>1</v>
      </c>
      <c r="K61" t="s">
        <v>48</v>
      </c>
      <c r="L61" t="s">
        <v>49</v>
      </c>
    </row>
    <row r="62" spans="1:12" x14ac:dyDescent="0.25">
      <c r="A62" s="8">
        <v>46268.50833333333</v>
      </c>
      <c r="B62" t="s">
        <v>58</v>
      </c>
      <c r="C62" t="s">
        <v>91</v>
      </c>
      <c r="D62" t="s">
        <v>78</v>
      </c>
      <c r="E62" t="s">
        <v>79</v>
      </c>
      <c r="F62" t="s">
        <v>56</v>
      </c>
      <c r="G62" t="s">
        <v>57</v>
      </c>
      <c r="H62" t="s">
        <v>46</v>
      </c>
      <c r="I62" t="s">
        <v>66</v>
      </c>
      <c r="J62" t="b">
        <v>1</v>
      </c>
      <c r="K62" t="s">
        <v>48</v>
      </c>
      <c r="L62" t="s">
        <v>49</v>
      </c>
    </row>
    <row r="63" spans="1:12" x14ac:dyDescent="0.25">
      <c r="A63" s="8">
        <v>46268.50834490741</v>
      </c>
      <c r="B63" t="s">
        <v>70</v>
      </c>
      <c r="C63" t="s">
        <v>91</v>
      </c>
      <c r="D63" t="s">
        <v>78</v>
      </c>
      <c r="E63" t="s">
        <v>79</v>
      </c>
      <c r="F63" t="s">
        <v>56</v>
      </c>
      <c r="G63" t="s">
        <v>57</v>
      </c>
      <c r="H63" t="s">
        <v>71</v>
      </c>
      <c r="I63" t="s">
        <v>66</v>
      </c>
      <c r="J63" t="b">
        <v>1</v>
      </c>
      <c r="K63" t="s">
        <v>48</v>
      </c>
      <c r="L63" t="s">
        <v>49</v>
      </c>
    </row>
    <row r="64" spans="1:12" x14ac:dyDescent="0.25">
      <c r="A64" s="8">
        <v>46268.508356481485</v>
      </c>
      <c r="B64" t="s">
        <v>72</v>
      </c>
      <c r="C64" t="s">
        <v>91</v>
      </c>
      <c r="D64" t="s">
        <v>78</v>
      </c>
      <c r="E64" t="s">
        <v>79</v>
      </c>
      <c r="F64" t="s">
        <v>56</v>
      </c>
      <c r="G64" t="s">
        <v>57</v>
      </c>
      <c r="H64" t="s">
        <v>71</v>
      </c>
      <c r="I64" t="s">
        <v>66</v>
      </c>
      <c r="J64" t="b">
        <v>1</v>
      </c>
      <c r="K64" t="s">
        <v>48</v>
      </c>
      <c r="L64" t="s">
        <v>49</v>
      </c>
    </row>
    <row r="65" spans="1:12" x14ac:dyDescent="0.25">
      <c r="A65" s="8">
        <v>46268.5090625</v>
      </c>
      <c r="B65" t="s">
        <v>44</v>
      </c>
      <c r="C65" t="s">
        <v>92</v>
      </c>
      <c r="D65" t="s">
        <v>46</v>
      </c>
      <c r="E65" t="s">
        <v>46</v>
      </c>
      <c r="F65" t="s">
        <v>46</v>
      </c>
      <c r="G65" t="s">
        <v>46</v>
      </c>
      <c r="H65" t="s">
        <v>46</v>
      </c>
      <c r="I65" t="s">
        <v>47</v>
      </c>
      <c r="J65" t="b">
        <v>1</v>
      </c>
      <c r="K65" t="s">
        <v>48</v>
      </c>
      <c r="L65" t="s">
        <v>49</v>
      </c>
    </row>
    <row r="66" spans="1:12" x14ac:dyDescent="0.25">
      <c r="A66" s="8">
        <v>46268.50907407407</v>
      </c>
      <c r="B66" t="s">
        <v>50</v>
      </c>
      <c r="C66" t="s">
        <v>92</v>
      </c>
      <c r="D66" t="s">
        <v>46</v>
      </c>
      <c r="E66" t="s">
        <v>46</v>
      </c>
      <c r="F66" t="s">
        <v>46</v>
      </c>
      <c r="G66" t="s">
        <v>46</v>
      </c>
      <c r="H66" t="s">
        <v>46</v>
      </c>
      <c r="I66" t="s">
        <v>47</v>
      </c>
      <c r="J66" t="b">
        <v>1</v>
      </c>
      <c r="K66" t="s">
        <v>48</v>
      </c>
      <c r="L66" t="s">
        <v>49</v>
      </c>
    </row>
    <row r="67" spans="1:12" x14ac:dyDescent="0.25">
      <c r="A67" s="8">
        <v>46268.50908564815</v>
      </c>
      <c r="B67" t="s">
        <v>53</v>
      </c>
      <c r="C67" t="s">
        <v>92</v>
      </c>
      <c r="D67" t="s">
        <v>83</v>
      </c>
      <c r="E67" t="s">
        <v>84</v>
      </c>
      <c r="F67" t="s">
        <v>56</v>
      </c>
      <c r="G67" t="s">
        <v>64</v>
      </c>
      <c r="H67" t="s">
        <v>46</v>
      </c>
      <c r="I67" t="s">
        <v>47</v>
      </c>
      <c r="J67" t="b">
        <v>1</v>
      </c>
      <c r="K67" t="s">
        <v>48</v>
      </c>
      <c r="L67" t="s">
        <v>49</v>
      </c>
    </row>
    <row r="68" spans="1:12" x14ac:dyDescent="0.25">
      <c r="A68" s="8">
        <v>46268.509097222224</v>
      </c>
      <c r="B68" t="s">
        <v>58</v>
      </c>
      <c r="C68" t="s">
        <v>92</v>
      </c>
      <c r="D68" t="s">
        <v>83</v>
      </c>
      <c r="E68" t="s">
        <v>84</v>
      </c>
      <c r="F68" t="s">
        <v>56</v>
      </c>
      <c r="G68" t="s">
        <v>64</v>
      </c>
      <c r="H68" t="s">
        <v>46</v>
      </c>
      <c r="I68" t="s">
        <v>47</v>
      </c>
      <c r="J68" t="b">
        <v>1</v>
      </c>
      <c r="K68" t="s">
        <v>48</v>
      </c>
      <c r="L68" t="s">
        <v>49</v>
      </c>
    </row>
    <row r="69" spans="1:12" x14ac:dyDescent="0.25">
      <c r="A69" s="8">
        <v>46268.509108796294</v>
      </c>
      <c r="B69" t="s">
        <v>70</v>
      </c>
      <c r="C69" t="s">
        <v>92</v>
      </c>
      <c r="D69" t="s">
        <v>83</v>
      </c>
      <c r="E69" t="s">
        <v>84</v>
      </c>
      <c r="F69" t="s">
        <v>56</v>
      </c>
      <c r="G69" t="s">
        <v>64</v>
      </c>
      <c r="H69" t="s">
        <v>71</v>
      </c>
      <c r="I69" t="s">
        <v>47</v>
      </c>
      <c r="J69" t="b">
        <v>1</v>
      </c>
      <c r="K69" t="s">
        <v>48</v>
      </c>
      <c r="L69" t="s">
        <v>49</v>
      </c>
    </row>
    <row r="70" spans="1:12" x14ac:dyDescent="0.25">
      <c r="A70" s="8">
        <v>46268.50912037037</v>
      </c>
      <c r="B70" t="s">
        <v>72</v>
      </c>
      <c r="C70" t="s">
        <v>92</v>
      </c>
      <c r="D70" t="s">
        <v>83</v>
      </c>
      <c r="E70" t="s">
        <v>84</v>
      </c>
      <c r="F70" t="s">
        <v>56</v>
      </c>
      <c r="G70" t="s">
        <v>64</v>
      </c>
      <c r="H70" t="s">
        <v>71</v>
      </c>
      <c r="I70" t="s">
        <v>47</v>
      </c>
      <c r="J70" t="b">
        <v>1</v>
      </c>
      <c r="K70" t="s">
        <v>48</v>
      </c>
      <c r="L70" t="s">
        <v>49</v>
      </c>
    </row>
    <row r="71" spans="1:12" x14ac:dyDescent="0.25">
      <c r="A71" s="8">
        <v>46268.509826388894</v>
      </c>
      <c r="B71" t="s">
        <v>44</v>
      </c>
      <c r="C71" t="s">
        <v>93</v>
      </c>
      <c r="D71" t="s">
        <v>46</v>
      </c>
      <c r="E71" t="s">
        <v>46</v>
      </c>
      <c r="F71" t="s">
        <v>46</v>
      </c>
      <c r="G71" t="s">
        <v>46</v>
      </c>
      <c r="H71" t="s">
        <v>46</v>
      </c>
      <c r="I71" t="s">
        <v>52</v>
      </c>
      <c r="J71" t="b">
        <v>1</v>
      </c>
      <c r="K71" t="s">
        <v>48</v>
      </c>
      <c r="L71" t="s">
        <v>49</v>
      </c>
    </row>
    <row r="72" spans="1:12" x14ac:dyDescent="0.25">
      <c r="A72" s="8">
        <v>46268.50983796296</v>
      </c>
      <c r="B72" t="s">
        <v>50</v>
      </c>
      <c r="C72" t="s">
        <v>93</v>
      </c>
      <c r="D72" t="s">
        <v>46</v>
      </c>
      <c r="E72" t="s">
        <v>46</v>
      </c>
      <c r="F72" t="s">
        <v>46</v>
      </c>
      <c r="G72" t="s">
        <v>46</v>
      </c>
      <c r="H72" t="s">
        <v>46</v>
      </c>
      <c r="I72" t="s">
        <v>52</v>
      </c>
      <c r="J72" t="b">
        <v>1</v>
      </c>
      <c r="K72" t="s">
        <v>48</v>
      </c>
      <c r="L72" t="s">
        <v>49</v>
      </c>
    </row>
    <row r="73" spans="1:12" x14ac:dyDescent="0.25">
      <c r="A73" s="8">
        <v>46268.50984953703</v>
      </c>
      <c r="B73" t="s">
        <v>53</v>
      </c>
      <c r="C73" t="s">
        <v>93</v>
      </c>
      <c r="D73" t="s">
        <v>54</v>
      </c>
      <c r="E73" t="s">
        <v>55</v>
      </c>
      <c r="F73" t="s">
        <v>56</v>
      </c>
      <c r="G73" t="s">
        <v>57</v>
      </c>
      <c r="H73" t="s">
        <v>46</v>
      </c>
      <c r="I73" t="s">
        <v>52</v>
      </c>
      <c r="J73" t="b">
        <v>1</v>
      </c>
      <c r="K73" t="s">
        <v>48</v>
      </c>
      <c r="L73" t="s">
        <v>49</v>
      </c>
    </row>
    <row r="74" spans="1:12" x14ac:dyDescent="0.25">
      <c r="A74" s="8">
        <v>46268.50986111111</v>
      </c>
      <c r="B74" t="s">
        <v>58</v>
      </c>
      <c r="C74" t="s">
        <v>93</v>
      </c>
      <c r="D74" t="s">
        <v>54</v>
      </c>
      <c r="E74" t="s">
        <v>55</v>
      </c>
      <c r="F74" t="s">
        <v>56</v>
      </c>
      <c r="G74" t="s">
        <v>57</v>
      </c>
      <c r="H74" t="s">
        <v>46</v>
      </c>
      <c r="I74" t="s">
        <v>52</v>
      </c>
      <c r="J74" t="b">
        <v>1</v>
      </c>
      <c r="K74" t="s">
        <v>48</v>
      </c>
      <c r="L74" t="s">
        <v>49</v>
      </c>
    </row>
    <row r="75" spans="1:12" x14ac:dyDescent="0.25">
      <c r="A75" s="8">
        <v>46268.50987268519</v>
      </c>
      <c r="B75" t="s">
        <v>70</v>
      </c>
      <c r="C75" t="s">
        <v>93</v>
      </c>
      <c r="D75" t="s">
        <v>54</v>
      </c>
      <c r="E75" t="s">
        <v>55</v>
      </c>
      <c r="F75" t="s">
        <v>56</v>
      </c>
      <c r="G75" t="s">
        <v>57</v>
      </c>
      <c r="H75" t="s">
        <v>71</v>
      </c>
      <c r="I75" t="s">
        <v>52</v>
      </c>
      <c r="J75" t="b">
        <v>1</v>
      </c>
      <c r="K75" t="s">
        <v>48</v>
      </c>
      <c r="L75" t="s">
        <v>49</v>
      </c>
    </row>
    <row r="76" spans="1:12" x14ac:dyDescent="0.25">
      <c r="A76" s="8">
        <v>46268.509884259256</v>
      </c>
      <c r="B76" t="s">
        <v>80</v>
      </c>
      <c r="C76" t="s">
        <v>93</v>
      </c>
      <c r="D76" t="s">
        <v>54</v>
      </c>
      <c r="E76" t="s">
        <v>55</v>
      </c>
      <c r="F76" t="s">
        <v>56</v>
      </c>
      <c r="G76" t="s">
        <v>57</v>
      </c>
      <c r="H76" t="s">
        <v>81</v>
      </c>
      <c r="I76" t="s">
        <v>52</v>
      </c>
      <c r="J76" t="b">
        <v>1</v>
      </c>
      <c r="K76" t="s">
        <v>48</v>
      </c>
      <c r="L76" t="s">
        <v>49</v>
      </c>
    </row>
    <row r="77" spans="1:12" x14ac:dyDescent="0.25">
      <c r="A77" s="8">
        <v>46268.50989583333</v>
      </c>
      <c r="B77" t="s">
        <v>72</v>
      </c>
      <c r="C77" t="s">
        <v>93</v>
      </c>
      <c r="D77" t="s">
        <v>54</v>
      </c>
      <c r="E77" t="s">
        <v>55</v>
      </c>
      <c r="F77" t="s">
        <v>56</v>
      </c>
      <c r="G77" t="s">
        <v>57</v>
      </c>
      <c r="H77" t="s">
        <v>81</v>
      </c>
      <c r="I77" t="s">
        <v>52</v>
      </c>
      <c r="J77" t="b">
        <v>1</v>
      </c>
      <c r="K77" t="s">
        <v>48</v>
      </c>
      <c r="L77" t="s">
        <v>49</v>
      </c>
    </row>
    <row r="78" spans="1:12" x14ac:dyDescent="0.25">
      <c r="A78" s="8">
        <v>46268.510601851856</v>
      </c>
      <c r="B78" t="s">
        <v>44</v>
      </c>
      <c r="C78" t="s">
        <v>94</v>
      </c>
      <c r="D78" t="s">
        <v>46</v>
      </c>
      <c r="E78" t="s">
        <v>46</v>
      </c>
      <c r="F78" t="s">
        <v>46</v>
      </c>
      <c r="G78" t="s">
        <v>46</v>
      </c>
      <c r="H78" t="s">
        <v>46</v>
      </c>
      <c r="I78" t="s">
        <v>61</v>
      </c>
      <c r="J78" t="b">
        <v>1</v>
      </c>
      <c r="K78" t="s">
        <v>48</v>
      </c>
      <c r="L78" t="s">
        <v>49</v>
      </c>
    </row>
    <row r="79" spans="1:12" x14ac:dyDescent="0.25">
      <c r="A79" s="8">
        <v>46268.510613425926</v>
      </c>
      <c r="B79" t="s">
        <v>50</v>
      </c>
      <c r="C79" t="s">
        <v>94</v>
      </c>
      <c r="D79" t="s">
        <v>46</v>
      </c>
      <c r="E79" t="s">
        <v>46</v>
      </c>
      <c r="F79" t="s">
        <v>46</v>
      </c>
      <c r="G79" t="s">
        <v>46</v>
      </c>
      <c r="H79" t="s">
        <v>46</v>
      </c>
      <c r="I79" t="s">
        <v>61</v>
      </c>
      <c r="J79" t="b">
        <v>1</v>
      </c>
      <c r="K79" t="s">
        <v>48</v>
      </c>
      <c r="L79" t="s">
        <v>49</v>
      </c>
    </row>
    <row r="80" spans="1:12" x14ac:dyDescent="0.25">
      <c r="A80" s="8">
        <v>46268.510624999995</v>
      </c>
      <c r="B80" t="s">
        <v>53</v>
      </c>
      <c r="C80" t="s">
        <v>94</v>
      </c>
      <c r="D80" t="s">
        <v>62</v>
      </c>
      <c r="E80" t="s">
        <v>63</v>
      </c>
      <c r="F80" t="s">
        <v>56</v>
      </c>
      <c r="G80" t="s">
        <v>64</v>
      </c>
      <c r="H80" t="s">
        <v>46</v>
      </c>
      <c r="I80" t="s">
        <v>61</v>
      </c>
      <c r="J80" t="b">
        <v>1</v>
      </c>
      <c r="K80" t="s">
        <v>48</v>
      </c>
      <c r="L80" t="s">
        <v>49</v>
      </c>
    </row>
    <row r="81" spans="1:12" x14ac:dyDescent="0.25">
      <c r="A81" s="8">
        <v>46268.51063657408</v>
      </c>
      <c r="B81" t="s">
        <v>58</v>
      </c>
      <c r="C81" t="s">
        <v>94</v>
      </c>
      <c r="D81" t="s">
        <v>62</v>
      </c>
      <c r="E81" t="s">
        <v>63</v>
      </c>
      <c r="F81" t="s">
        <v>56</v>
      </c>
      <c r="G81" t="s">
        <v>64</v>
      </c>
      <c r="H81" t="s">
        <v>46</v>
      </c>
      <c r="I81" t="s">
        <v>61</v>
      </c>
      <c r="J81" t="b">
        <v>1</v>
      </c>
      <c r="K81" t="s">
        <v>48</v>
      </c>
      <c r="L81" t="s">
        <v>49</v>
      </c>
    </row>
    <row r="82" spans="1:12" x14ac:dyDescent="0.25">
      <c r="A82" s="8">
        <v>46268.51064814815</v>
      </c>
      <c r="B82" t="s">
        <v>70</v>
      </c>
      <c r="C82" t="s">
        <v>94</v>
      </c>
      <c r="D82" t="s">
        <v>62</v>
      </c>
      <c r="E82" t="s">
        <v>63</v>
      </c>
      <c r="F82" t="s">
        <v>56</v>
      </c>
      <c r="G82" t="s">
        <v>64</v>
      </c>
      <c r="H82" t="s">
        <v>71</v>
      </c>
      <c r="I82" t="s">
        <v>61</v>
      </c>
      <c r="J82" t="b">
        <v>1</v>
      </c>
      <c r="K82" t="s">
        <v>48</v>
      </c>
      <c r="L82" t="s">
        <v>49</v>
      </c>
    </row>
    <row r="83" spans="1:12" x14ac:dyDescent="0.25">
      <c r="A83" s="8">
        <v>46268.51065972222</v>
      </c>
      <c r="B83" t="s">
        <v>80</v>
      </c>
      <c r="C83" t="s">
        <v>94</v>
      </c>
      <c r="D83" t="s">
        <v>62</v>
      </c>
      <c r="E83" t="s">
        <v>63</v>
      </c>
      <c r="F83" t="s">
        <v>56</v>
      </c>
      <c r="G83" t="s">
        <v>64</v>
      </c>
      <c r="H83" t="s">
        <v>81</v>
      </c>
      <c r="I83" t="s">
        <v>61</v>
      </c>
      <c r="J83" t="b">
        <v>1</v>
      </c>
      <c r="K83" t="s">
        <v>48</v>
      </c>
      <c r="L83" t="s">
        <v>49</v>
      </c>
    </row>
    <row r="84" spans="1:12" x14ac:dyDescent="0.25">
      <c r="A84" s="8">
        <v>46268.510671296295</v>
      </c>
      <c r="B84" t="s">
        <v>85</v>
      </c>
      <c r="C84" t="s">
        <v>94</v>
      </c>
      <c r="D84" t="s">
        <v>62</v>
      </c>
      <c r="E84" t="s">
        <v>63</v>
      </c>
      <c r="F84" t="s">
        <v>56</v>
      </c>
      <c r="G84" t="s">
        <v>64</v>
      </c>
      <c r="H84" t="s">
        <v>86</v>
      </c>
      <c r="I84" t="s">
        <v>61</v>
      </c>
      <c r="J84" t="b">
        <v>1</v>
      </c>
      <c r="K84" t="s">
        <v>48</v>
      </c>
      <c r="L84" t="s">
        <v>49</v>
      </c>
    </row>
    <row r="85" spans="1:12" x14ac:dyDescent="0.25">
      <c r="A85" s="8">
        <v>46268.51137731482</v>
      </c>
      <c r="B85" t="s">
        <v>44</v>
      </c>
      <c r="C85" t="s">
        <v>95</v>
      </c>
      <c r="D85" t="s">
        <v>46</v>
      </c>
      <c r="E85" t="s">
        <v>46</v>
      </c>
      <c r="F85" t="s">
        <v>46</v>
      </c>
      <c r="G85" t="s">
        <v>46</v>
      </c>
      <c r="H85" t="s">
        <v>46</v>
      </c>
      <c r="I85" t="s">
        <v>66</v>
      </c>
      <c r="J85" t="b">
        <v>1</v>
      </c>
      <c r="K85" t="s">
        <v>48</v>
      </c>
      <c r="L85" t="s">
        <v>49</v>
      </c>
    </row>
    <row r="86" spans="1:12" x14ac:dyDescent="0.25">
      <c r="A86" s="8">
        <v>46268.51138888889</v>
      </c>
      <c r="B86" t="s">
        <v>50</v>
      </c>
      <c r="C86" t="s">
        <v>95</v>
      </c>
      <c r="D86" t="s">
        <v>46</v>
      </c>
      <c r="E86" t="s">
        <v>46</v>
      </c>
      <c r="F86" t="s">
        <v>46</v>
      </c>
      <c r="G86" t="s">
        <v>46</v>
      </c>
      <c r="H86" t="s">
        <v>46</v>
      </c>
      <c r="I86" t="s">
        <v>66</v>
      </c>
      <c r="J86" t="b">
        <v>1</v>
      </c>
      <c r="K86" t="s">
        <v>48</v>
      </c>
      <c r="L86" t="s">
        <v>49</v>
      </c>
    </row>
    <row r="87" spans="1:12" x14ac:dyDescent="0.25">
      <c r="A87" s="8">
        <v>46268.51140046296</v>
      </c>
      <c r="B87" t="s">
        <v>53</v>
      </c>
      <c r="C87" t="s">
        <v>95</v>
      </c>
      <c r="D87" t="s">
        <v>67</v>
      </c>
      <c r="E87" t="s">
        <v>68</v>
      </c>
      <c r="F87" t="s">
        <v>69</v>
      </c>
      <c r="G87" t="s">
        <v>57</v>
      </c>
      <c r="H87" t="s">
        <v>46</v>
      </c>
      <c r="I87" t="s">
        <v>66</v>
      </c>
      <c r="J87" t="b">
        <v>1</v>
      </c>
      <c r="K87" t="s">
        <v>48</v>
      </c>
      <c r="L87" t="s">
        <v>49</v>
      </c>
    </row>
    <row r="88" spans="1:12" x14ac:dyDescent="0.25">
      <c r="A88" s="8">
        <v>46268.51141203704</v>
      </c>
      <c r="B88" t="s">
        <v>58</v>
      </c>
      <c r="C88" t="s">
        <v>95</v>
      </c>
      <c r="D88" t="s">
        <v>67</v>
      </c>
      <c r="E88" t="s">
        <v>68</v>
      </c>
      <c r="F88" t="s">
        <v>69</v>
      </c>
      <c r="G88" t="s">
        <v>57</v>
      </c>
      <c r="H88" t="s">
        <v>46</v>
      </c>
      <c r="I88" t="s">
        <v>66</v>
      </c>
      <c r="J88" t="b">
        <v>1</v>
      </c>
      <c r="K88" t="s">
        <v>48</v>
      </c>
      <c r="L88" t="s">
        <v>49</v>
      </c>
    </row>
    <row r="89" spans="1:12" x14ac:dyDescent="0.25">
      <c r="A89" s="8">
        <v>46268.51142361111</v>
      </c>
      <c r="B89" t="s">
        <v>70</v>
      </c>
      <c r="C89" t="s">
        <v>95</v>
      </c>
      <c r="D89" t="s">
        <v>67</v>
      </c>
      <c r="E89" t="s">
        <v>68</v>
      </c>
      <c r="F89" t="s">
        <v>69</v>
      </c>
      <c r="G89" t="s">
        <v>57</v>
      </c>
      <c r="H89" t="s">
        <v>71</v>
      </c>
      <c r="I89" t="s">
        <v>66</v>
      </c>
      <c r="J89" t="b">
        <v>1</v>
      </c>
      <c r="K89" t="s">
        <v>48</v>
      </c>
      <c r="L89" t="s">
        <v>49</v>
      </c>
    </row>
    <row r="90" spans="1:12" x14ac:dyDescent="0.25">
      <c r="A90" s="8">
        <v>46268.51143518518</v>
      </c>
      <c r="B90" t="s">
        <v>80</v>
      </c>
      <c r="C90" t="s">
        <v>95</v>
      </c>
      <c r="D90" t="s">
        <v>67</v>
      </c>
      <c r="E90" t="s">
        <v>68</v>
      </c>
      <c r="F90" t="s">
        <v>69</v>
      </c>
      <c r="G90" t="s">
        <v>57</v>
      </c>
      <c r="H90" t="s">
        <v>81</v>
      </c>
      <c r="I90" t="s">
        <v>66</v>
      </c>
      <c r="J90" t="b">
        <v>1</v>
      </c>
      <c r="K90" t="s">
        <v>48</v>
      </c>
      <c r="L90" t="s">
        <v>49</v>
      </c>
    </row>
    <row r="91" spans="1:12" x14ac:dyDescent="0.25">
      <c r="A91" s="8">
        <v>46268.51144675926</v>
      </c>
      <c r="B91" t="s">
        <v>85</v>
      </c>
      <c r="C91" t="s">
        <v>95</v>
      </c>
      <c r="D91" t="s">
        <v>67</v>
      </c>
      <c r="E91" t="s">
        <v>68</v>
      </c>
      <c r="F91" t="s">
        <v>69</v>
      </c>
      <c r="G91" t="s">
        <v>57</v>
      </c>
      <c r="H91" t="s">
        <v>86</v>
      </c>
      <c r="I91" t="s">
        <v>66</v>
      </c>
      <c r="J91" t="b">
        <v>1</v>
      </c>
      <c r="K91" t="s">
        <v>48</v>
      </c>
      <c r="L91" t="s">
        <v>49</v>
      </c>
    </row>
    <row r="92" spans="1:12" x14ac:dyDescent="0.25">
      <c r="A92" s="8">
        <v>46268.51215277778</v>
      </c>
      <c r="B92" t="s">
        <v>44</v>
      </c>
      <c r="C92" t="s">
        <v>96</v>
      </c>
      <c r="D92" t="s">
        <v>46</v>
      </c>
      <c r="E92" t="s">
        <v>46</v>
      </c>
      <c r="F92" t="s">
        <v>46</v>
      </c>
      <c r="G92" t="s">
        <v>46</v>
      </c>
      <c r="H92" t="s">
        <v>46</v>
      </c>
      <c r="I92" t="s">
        <v>47</v>
      </c>
      <c r="J92" t="b">
        <v>1</v>
      </c>
      <c r="K92" t="s">
        <v>48</v>
      </c>
      <c r="L92" t="s">
        <v>49</v>
      </c>
    </row>
    <row r="93" spans="1:12" x14ac:dyDescent="0.25">
      <c r="A93" s="8">
        <v>46268.51216435185</v>
      </c>
      <c r="B93" t="s">
        <v>50</v>
      </c>
      <c r="C93" t="s">
        <v>96</v>
      </c>
      <c r="D93" t="s">
        <v>46</v>
      </c>
      <c r="E93" t="s">
        <v>46</v>
      </c>
      <c r="F93" t="s">
        <v>46</v>
      </c>
      <c r="G93" t="s">
        <v>46</v>
      </c>
      <c r="H93" t="s">
        <v>46</v>
      </c>
      <c r="I93" t="s">
        <v>47</v>
      </c>
      <c r="J93" t="b">
        <v>1</v>
      </c>
      <c r="K93" t="s">
        <v>48</v>
      </c>
      <c r="L93" t="s">
        <v>49</v>
      </c>
    </row>
    <row r="94" spans="1:12" x14ac:dyDescent="0.25">
      <c r="A94" s="8">
        <v>46268.51287037037</v>
      </c>
      <c r="B94" t="s">
        <v>44</v>
      </c>
      <c r="C94" t="s">
        <v>97</v>
      </c>
      <c r="D94" t="s">
        <v>46</v>
      </c>
      <c r="E94" t="s">
        <v>46</v>
      </c>
      <c r="F94" t="s">
        <v>46</v>
      </c>
      <c r="G94" t="s">
        <v>46</v>
      </c>
      <c r="H94" t="s">
        <v>46</v>
      </c>
      <c r="I94" t="s">
        <v>52</v>
      </c>
      <c r="J94" t="b">
        <v>1</v>
      </c>
      <c r="K94" t="s">
        <v>48</v>
      </c>
      <c r="L94" t="s">
        <v>49</v>
      </c>
    </row>
    <row r="95" spans="1:12" x14ac:dyDescent="0.25">
      <c r="A95" s="8">
        <v>46268.51288194444</v>
      </c>
      <c r="B95" t="s">
        <v>50</v>
      </c>
      <c r="C95" t="s">
        <v>97</v>
      </c>
      <c r="D95" t="s">
        <v>46</v>
      </c>
      <c r="E95" t="s">
        <v>46</v>
      </c>
      <c r="F95" t="s">
        <v>46</v>
      </c>
      <c r="G95" t="s">
        <v>46</v>
      </c>
      <c r="H95" t="s">
        <v>46</v>
      </c>
      <c r="I95" t="s">
        <v>52</v>
      </c>
      <c r="J95" t="b">
        <v>1</v>
      </c>
      <c r="K95" t="s">
        <v>48</v>
      </c>
      <c r="L95" t="s">
        <v>49</v>
      </c>
    </row>
    <row r="96" spans="1:12" x14ac:dyDescent="0.25">
      <c r="A96" s="8">
        <v>46268.51289351852</v>
      </c>
      <c r="B96" t="s">
        <v>53</v>
      </c>
      <c r="C96" t="s">
        <v>97</v>
      </c>
      <c r="D96" t="s">
        <v>78</v>
      </c>
      <c r="E96" t="s">
        <v>79</v>
      </c>
      <c r="F96" t="s">
        <v>56</v>
      </c>
      <c r="G96" t="s">
        <v>57</v>
      </c>
      <c r="H96" t="s">
        <v>46</v>
      </c>
      <c r="I96" t="s">
        <v>52</v>
      </c>
      <c r="J96" t="b">
        <v>1</v>
      </c>
      <c r="K96" t="s">
        <v>48</v>
      </c>
      <c r="L96" t="s">
        <v>49</v>
      </c>
    </row>
    <row r="97" spans="1:12" x14ac:dyDescent="0.25">
      <c r="A97" s="8">
        <v>46268.51290509259</v>
      </c>
      <c r="B97" t="s">
        <v>58</v>
      </c>
      <c r="C97" t="s">
        <v>97</v>
      </c>
      <c r="D97" t="s">
        <v>78</v>
      </c>
      <c r="E97" t="s">
        <v>79</v>
      </c>
      <c r="F97" t="s">
        <v>56</v>
      </c>
      <c r="G97" t="s">
        <v>57</v>
      </c>
      <c r="H97" t="s">
        <v>46</v>
      </c>
      <c r="I97" t="s">
        <v>52</v>
      </c>
      <c r="J97" t="b">
        <v>1</v>
      </c>
      <c r="K97" t="s">
        <v>48</v>
      </c>
      <c r="L97" t="s">
        <v>49</v>
      </c>
    </row>
    <row r="98" spans="1:12" x14ac:dyDescent="0.25">
      <c r="A98" s="8">
        <v>46268.51291666667</v>
      </c>
      <c r="B98" t="s">
        <v>59</v>
      </c>
      <c r="C98" t="s">
        <v>97</v>
      </c>
      <c r="D98" t="s">
        <v>78</v>
      </c>
      <c r="E98" t="s">
        <v>79</v>
      </c>
      <c r="F98" t="s">
        <v>56</v>
      </c>
      <c r="G98" t="s">
        <v>57</v>
      </c>
      <c r="H98" t="s">
        <v>46</v>
      </c>
      <c r="I98" t="s">
        <v>52</v>
      </c>
      <c r="J98" t="b">
        <v>1</v>
      </c>
      <c r="K98" t="s">
        <v>48</v>
      </c>
      <c r="L98" t="s">
        <v>49</v>
      </c>
    </row>
    <row r="99" spans="1:12" x14ac:dyDescent="0.25">
      <c r="A99" s="8">
        <v>46268.51362268519</v>
      </c>
      <c r="B99" t="s">
        <v>44</v>
      </c>
      <c r="C99" t="s">
        <v>98</v>
      </c>
      <c r="D99" t="s">
        <v>46</v>
      </c>
      <c r="E99" t="s">
        <v>46</v>
      </c>
      <c r="F99" t="s">
        <v>46</v>
      </c>
      <c r="G99" t="s">
        <v>46</v>
      </c>
      <c r="H99" t="s">
        <v>46</v>
      </c>
      <c r="I99" t="s">
        <v>61</v>
      </c>
      <c r="J99" t="b">
        <v>1</v>
      </c>
      <c r="K99" t="s">
        <v>48</v>
      </c>
      <c r="L99" t="s">
        <v>49</v>
      </c>
    </row>
    <row r="100" spans="1:12" x14ac:dyDescent="0.25">
      <c r="A100" s="8">
        <v>46268.51363425926</v>
      </c>
      <c r="B100" t="s">
        <v>50</v>
      </c>
      <c r="C100" t="s">
        <v>98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61</v>
      </c>
      <c r="J100" t="b">
        <v>1</v>
      </c>
      <c r="K100" t="s">
        <v>48</v>
      </c>
      <c r="L100" t="s">
        <v>49</v>
      </c>
    </row>
    <row r="101" spans="1:12" x14ac:dyDescent="0.25">
      <c r="A101" s="8">
        <v>46268.51364583333</v>
      </c>
      <c r="B101" t="s">
        <v>53</v>
      </c>
      <c r="C101" t="s">
        <v>98</v>
      </c>
      <c r="D101" t="s">
        <v>83</v>
      </c>
      <c r="E101" t="s">
        <v>84</v>
      </c>
      <c r="F101" t="s">
        <v>56</v>
      </c>
      <c r="G101" t="s">
        <v>64</v>
      </c>
      <c r="H101" t="s">
        <v>46</v>
      </c>
      <c r="I101" t="s">
        <v>61</v>
      </c>
      <c r="J101" t="b">
        <v>1</v>
      </c>
      <c r="K101" t="s">
        <v>48</v>
      </c>
      <c r="L101" t="s">
        <v>49</v>
      </c>
    </row>
    <row r="102" spans="1:12" x14ac:dyDescent="0.25">
      <c r="A102" s="8">
        <v>46268.513657407406</v>
      </c>
      <c r="B102" t="s">
        <v>58</v>
      </c>
      <c r="C102" t="s">
        <v>98</v>
      </c>
      <c r="D102" t="s">
        <v>83</v>
      </c>
      <c r="E102" t="s">
        <v>84</v>
      </c>
      <c r="F102" t="s">
        <v>56</v>
      </c>
      <c r="G102" t="s">
        <v>64</v>
      </c>
      <c r="H102" t="s">
        <v>46</v>
      </c>
      <c r="I102" t="s">
        <v>61</v>
      </c>
      <c r="J102" t="b">
        <v>1</v>
      </c>
      <c r="K102" t="s">
        <v>48</v>
      </c>
      <c r="L102" t="s">
        <v>49</v>
      </c>
    </row>
    <row r="103" spans="1:12" x14ac:dyDescent="0.25">
      <c r="A103" s="8">
        <v>46268.51366898148</v>
      </c>
      <c r="B103" t="s">
        <v>59</v>
      </c>
      <c r="C103" t="s">
        <v>98</v>
      </c>
      <c r="D103" t="s">
        <v>83</v>
      </c>
      <c r="E103" t="s">
        <v>84</v>
      </c>
      <c r="F103" t="s">
        <v>56</v>
      </c>
      <c r="G103" t="s">
        <v>64</v>
      </c>
      <c r="H103" t="s">
        <v>46</v>
      </c>
      <c r="I103" t="s">
        <v>61</v>
      </c>
      <c r="J103" t="b">
        <v>1</v>
      </c>
      <c r="K103" t="s">
        <v>48</v>
      </c>
      <c r="L103" t="s">
        <v>49</v>
      </c>
    </row>
    <row r="104" spans="1:12" x14ac:dyDescent="0.25">
      <c r="A104" s="8">
        <v>46268.514375</v>
      </c>
      <c r="B104" t="s">
        <v>44</v>
      </c>
      <c r="C104" t="s">
        <v>99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66</v>
      </c>
      <c r="J104" t="b">
        <v>1</v>
      </c>
      <c r="K104" t="s">
        <v>48</v>
      </c>
      <c r="L104" t="s">
        <v>49</v>
      </c>
    </row>
    <row r="105" spans="1:12" x14ac:dyDescent="0.25">
      <c r="A105" s="8">
        <v>46268.514386574076</v>
      </c>
      <c r="B105" t="s">
        <v>50</v>
      </c>
      <c r="C105" t="s">
        <v>99</v>
      </c>
      <c r="D105" t="s">
        <v>46</v>
      </c>
      <c r="E105" t="s">
        <v>46</v>
      </c>
      <c r="F105" t="s">
        <v>46</v>
      </c>
      <c r="G105" t="s">
        <v>46</v>
      </c>
      <c r="H105" t="s">
        <v>46</v>
      </c>
      <c r="I105" t="s">
        <v>66</v>
      </c>
      <c r="J105" t="b">
        <v>1</v>
      </c>
      <c r="K105" t="s">
        <v>48</v>
      </c>
      <c r="L105" t="s">
        <v>49</v>
      </c>
    </row>
    <row r="106" spans="1:12" x14ac:dyDescent="0.25">
      <c r="A106" s="8">
        <v>46268.51439814815</v>
      </c>
      <c r="B106" t="s">
        <v>53</v>
      </c>
      <c r="C106" t="s">
        <v>99</v>
      </c>
      <c r="D106" t="s">
        <v>54</v>
      </c>
      <c r="E106" t="s">
        <v>55</v>
      </c>
      <c r="F106" t="s">
        <v>56</v>
      </c>
      <c r="G106" t="s">
        <v>57</v>
      </c>
      <c r="H106" t="s">
        <v>46</v>
      </c>
      <c r="I106" t="s">
        <v>66</v>
      </c>
      <c r="J106" t="b">
        <v>1</v>
      </c>
      <c r="K106" t="s">
        <v>48</v>
      </c>
      <c r="L106" t="s">
        <v>49</v>
      </c>
    </row>
    <row r="107" spans="1:12" x14ac:dyDescent="0.25">
      <c r="A107" s="8">
        <v>46268.51440972222</v>
      </c>
      <c r="B107" t="s">
        <v>58</v>
      </c>
      <c r="C107" t="s">
        <v>99</v>
      </c>
      <c r="D107" t="s">
        <v>54</v>
      </c>
      <c r="E107" t="s">
        <v>55</v>
      </c>
      <c r="F107" t="s">
        <v>56</v>
      </c>
      <c r="G107" t="s">
        <v>57</v>
      </c>
      <c r="H107" t="s">
        <v>46</v>
      </c>
      <c r="I107" t="s">
        <v>66</v>
      </c>
      <c r="J107" t="b">
        <v>1</v>
      </c>
      <c r="K107" t="s">
        <v>48</v>
      </c>
      <c r="L107" t="s">
        <v>49</v>
      </c>
    </row>
    <row r="108" spans="1:12" x14ac:dyDescent="0.25">
      <c r="A108" s="8">
        <v>46268.51442129629</v>
      </c>
      <c r="B108" t="s">
        <v>70</v>
      </c>
      <c r="C108" t="s">
        <v>99</v>
      </c>
      <c r="D108" t="s">
        <v>54</v>
      </c>
      <c r="E108" t="s">
        <v>55</v>
      </c>
      <c r="F108" t="s">
        <v>56</v>
      </c>
      <c r="G108" t="s">
        <v>57</v>
      </c>
      <c r="H108" t="s">
        <v>71</v>
      </c>
      <c r="I108" t="s">
        <v>66</v>
      </c>
      <c r="J108" t="b">
        <v>1</v>
      </c>
      <c r="K108" t="s">
        <v>48</v>
      </c>
      <c r="L108" t="s">
        <v>49</v>
      </c>
    </row>
    <row r="109" spans="1:12" x14ac:dyDescent="0.25">
      <c r="A109" s="8">
        <v>46268.514432870375</v>
      </c>
      <c r="B109" t="s">
        <v>72</v>
      </c>
      <c r="C109" t="s">
        <v>99</v>
      </c>
      <c r="D109" t="s">
        <v>54</v>
      </c>
      <c r="E109" t="s">
        <v>55</v>
      </c>
      <c r="F109" t="s">
        <v>56</v>
      </c>
      <c r="G109" t="s">
        <v>57</v>
      </c>
      <c r="H109" t="s">
        <v>71</v>
      </c>
      <c r="I109" t="s">
        <v>66</v>
      </c>
      <c r="J109" t="b">
        <v>1</v>
      </c>
      <c r="K109" t="s">
        <v>48</v>
      </c>
      <c r="L109" t="s">
        <v>49</v>
      </c>
    </row>
    <row r="110" spans="1:12" x14ac:dyDescent="0.25">
      <c r="A110" s="8">
        <v>46268.51513888889</v>
      </c>
      <c r="B110" t="s">
        <v>44</v>
      </c>
      <c r="C110" t="s">
        <v>100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47</v>
      </c>
      <c r="J110" t="b">
        <v>1</v>
      </c>
      <c r="K110" t="s">
        <v>48</v>
      </c>
      <c r="L110" t="s">
        <v>49</v>
      </c>
    </row>
    <row r="111" spans="1:12" x14ac:dyDescent="0.25">
      <c r="A111" s="8">
        <v>46268.51515046296</v>
      </c>
      <c r="B111" t="s">
        <v>50</v>
      </c>
      <c r="C111" t="s">
        <v>100</v>
      </c>
      <c r="D111" t="s">
        <v>46</v>
      </c>
      <c r="E111" t="s">
        <v>46</v>
      </c>
      <c r="F111" t="s">
        <v>46</v>
      </c>
      <c r="G111" t="s">
        <v>46</v>
      </c>
      <c r="H111" t="s">
        <v>46</v>
      </c>
      <c r="I111" t="s">
        <v>47</v>
      </c>
      <c r="J111" t="b">
        <v>1</v>
      </c>
      <c r="K111" t="s">
        <v>48</v>
      </c>
      <c r="L111" t="s">
        <v>49</v>
      </c>
    </row>
    <row r="112" spans="1:12" x14ac:dyDescent="0.25">
      <c r="A112" s="8">
        <v>46268.51516203704</v>
      </c>
      <c r="B112" t="s">
        <v>53</v>
      </c>
      <c r="C112" t="s">
        <v>100</v>
      </c>
      <c r="D112" t="s">
        <v>62</v>
      </c>
      <c r="E112" t="s">
        <v>63</v>
      </c>
      <c r="F112" t="s">
        <v>56</v>
      </c>
      <c r="G112" t="s">
        <v>64</v>
      </c>
      <c r="H112" t="s">
        <v>46</v>
      </c>
      <c r="I112" t="s">
        <v>47</v>
      </c>
      <c r="J112" t="b">
        <v>1</v>
      </c>
      <c r="K112" t="s">
        <v>48</v>
      </c>
      <c r="L112" t="s">
        <v>49</v>
      </c>
    </row>
    <row r="113" spans="1:12" x14ac:dyDescent="0.25">
      <c r="A113" s="8">
        <v>46268.515173611115</v>
      </c>
      <c r="B113" t="s">
        <v>58</v>
      </c>
      <c r="C113" t="s">
        <v>100</v>
      </c>
      <c r="D113" t="s">
        <v>62</v>
      </c>
      <c r="E113" t="s">
        <v>63</v>
      </c>
      <c r="F113" t="s">
        <v>56</v>
      </c>
      <c r="G113" t="s">
        <v>64</v>
      </c>
      <c r="H113" t="s">
        <v>46</v>
      </c>
      <c r="I113" t="s">
        <v>47</v>
      </c>
      <c r="J113" t="b">
        <v>1</v>
      </c>
      <c r="K113" t="s">
        <v>48</v>
      </c>
      <c r="L113" t="s">
        <v>49</v>
      </c>
    </row>
    <row r="114" spans="1:12" x14ac:dyDescent="0.25">
      <c r="A114" s="8">
        <v>46268.515185185184</v>
      </c>
      <c r="B114" t="s">
        <v>70</v>
      </c>
      <c r="C114" t="s">
        <v>100</v>
      </c>
      <c r="D114" t="s">
        <v>62</v>
      </c>
      <c r="E114" t="s">
        <v>63</v>
      </c>
      <c r="F114" t="s">
        <v>56</v>
      </c>
      <c r="G114" t="s">
        <v>64</v>
      </c>
      <c r="H114" t="s">
        <v>71</v>
      </c>
      <c r="I114" t="s">
        <v>47</v>
      </c>
      <c r="J114" t="b">
        <v>1</v>
      </c>
      <c r="K114" t="s">
        <v>48</v>
      </c>
      <c r="L114" t="s">
        <v>49</v>
      </c>
    </row>
    <row r="115" spans="1:12" x14ac:dyDescent="0.25">
      <c r="A115" s="8">
        <v>46268.51519675926</v>
      </c>
      <c r="B115" t="s">
        <v>72</v>
      </c>
      <c r="C115" t="s">
        <v>100</v>
      </c>
      <c r="D115" t="s">
        <v>62</v>
      </c>
      <c r="E115" t="s">
        <v>63</v>
      </c>
      <c r="F115" t="s">
        <v>56</v>
      </c>
      <c r="G115" t="s">
        <v>64</v>
      </c>
      <c r="H115" t="s">
        <v>71</v>
      </c>
      <c r="I115" t="s">
        <v>47</v>
      </c>
      <c r="J115" t="b">
        <v>1</v>
      </c>
      <c r="K115" t="s">
        <v>48</v>
      </c>
      <c r="L115" t="s">
        <v>49</v>
      </c>
    </row>
    <row r="116" spans="1:12" x14ac:dyDescent="0.25">
      <c r="A116" s="8">
        <v>46268.51590277778</v>
      </c>
      <c r="B116" t="s">
        <v>44</v>
      </c>
      <c r="C116" t="s">
        <v>101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52</v>
      </c>
      <c r="J116" t="b">
        <v>1</v>
      </c>
      <c r="K116" t="s">
        <v>48</v>
      </c>
      <c r="L116" t="s">
        <v>49</v>
      </c>
    </row>
    <row r="117" spans="1:12" x14ac:dyDescent="0.25">
      <c r="A117" s="8">
        <v>46268.515914351854</v>
      </c>
      <c r="B117" t="s">
        <v>50</v>
      </c>
      <c r="C117" t="s">
        <v>101</v>
      </c>
      <c r="D117" t="s">
        <v>46</v>
      </c>
      <c r="E117" t="s">
        <v>46</v>
      </c>
      <c r="F117" t="s">
        <v>46</v>
      </c>
      <c r="G117" t="s">
        <v>46</v>
      </c>
      <c r="H117" t="s">
        <v>46</v>
      </c>
      <c r="I117" t="s">
        <v>52</v>
      </c>
      <c r="J117" t="b">
        <v>1</v>
      </c>
      <c r="K117" t="s">
        <v>48</v>
      </c>
      <c r="L117" t="s">
        <v>49</v>
      </c>
    </row>
    <row r="118" spans="1:12" x14ac:dyDescent="0.25">
      <c r="A118" s="8">
        <v>46268.51592592592</v>
      </c>
      <c r="B118" t="s">
        <v>53</v>
      </c>
      <c r="C118" t="s">
        <v>101</v>
      </c>
      <c r="D118" t="s">
        <v>67</v>
      </c>
      <c r="E118" t="s">
        <v>68</v>
      </c>
      <c r="F118" t="s">
        <v>69</v>
      </c>
      <c r="G118" t="s">
        <v>57</v>
      </c>
      <c r="H118" t="s">
        <v>46</v>
      </c>
      <c r="I118" t="s">
        <v>52</v>
      </c>
      <c r="J118" t="b">
        <v>1</v>
      </c>
      <c r="K118" t="s">
        <v>48</v>
      </c>
      <c r="L118" t="s">
        <v>49</v>
      </c>
    </row>
    <row r="119" spans="1:12" x14ac:dyDescent="0.25">
      <c r="A119" s="8">
        <v>46268.5159375</v>
      </c>
      <c r="B119" t="s">
        <v>58</v>
      </c>
      <c r="C119" t="s">
        <v>101</v>
      </c>
      <c r="D119" t="s">
        <v>67</v>
      </c>
      <c r="E119" t="s">
        <v>68</v>
      </c>
      <c r="F119" t="s">
        <v>69</v>
      </c>
      <c r="G119" t="s">
        <v>57</v>
      </c>
      <c r="H119" t="s">
        <v>46</v>
      </c>
      <c r="I119" t="s">
        <v>52</v>
      </c>
      <c r="J119" t="b">
        <v>1</v>
      </c>
      <c r="K119" t="s">
        <v>48</v>
      </c>
      <c r="L119" t="s">
        <v>49</v>
      </c>
    </row>
    <row r="120" spans="1:12" x14ac:dyDescent="0.25">
      <c r="A120" s="8">
        <v>46268.51594907408</v>
      </c>
      <c r="B120" t="s">
        <v>70</v>
      </c>
      <c r="C120" t="s">
        <v>101</v>
      </c>
      <c r="D120" t="s">
        <v>67</v>
      </c>
      <c r="E120" t="s">
        <v>68</v>
      </c>
      <c r="F120" t="s">
        <v>69</v>
      </c>
      <c r="G120" t="s">
        <v>57</v>
      </c>
      <c r="H120" t="s">
        <v>71</v>
      </c>
      <c r="I120" t="s">
        <v>52</v>
      </c>
      <c r="J120" t="b">
        <v>1</v>
      </c>
      <c r="K120" t="s">
        <v>48</v>
      </c>
      <c r="L120" t="s">
        <v>49</v>
      </c>
    </row>
    <row r="121" spans="1:12" x14ac:dyDescent="0.25">
      <c r="A121" s="8">
        <v>46268.51596064815</v>
      </c>
      <c r="B121" t="s">
        <v>80</v>
      </c>
      <c r="C121" t="s">
        <v>101</v>
      </c>
      <c r="D121" t="s">
        <v>67</v>
      </c>
      <c r="E121" t="s">
        <v>68</v>
      </c>
      <c r="F121" t="s">
        <v>69</v>
      </c>
      <c r="G121" t="s">
        <v>57</v>
      </c>
      <c r="H121" t="s">
        <v>81</v>
      </c>
      <c r="I121" t="s">
        <v>52</v>
      </c>
      <c r="J121" t="b">
        <v>1</v>
      </c>
      <c r="K121" t="s">
        <v>48</v>
      </c>
      <c r="L121" t="s">
        <v>49</v>
      </c>
    </row>
    <row r="122" spans="1:12" x14ac:dyDescent="0.25">
      <c r="A122" s="8">
        <v>46268.51597222222</v>
      </c>
      <c r="B122" t="s">
        <v>72</v>
      </c>
      <c r="C122" t="s">
        <v>101</v>
      </c>
      <c r="D122" t="s">
        <v>67</v>
      </c>
      <c r="E122" t="s">
        <v>68</v>
      </c>
      <c r="F122" t="s">
        <v>69</v>
      </c>
      <c r="G122" t="s">
        <v>57</v>
      </c>
      <c r="H122" t="s">
        <v>81</v>
      </c>
      <c r="I122" t="s">
        <v>52</v>
      </c>
      <c r="J122" t="b">
        <v>1</v>
      </c>
      <c r="K122" t="s">
        <v>48</v>
      </c>
      <c r="L122" t="s">
        <v>49</v>
      </c>
    </row>
    <row r="123" spans="1:12" x14ac:dyDescent="0.25">
      <c r="A123" s="8">
        <v>46268.51667824074</v>
      </c>
      <c r="B123" t="s">
        <v>44</v>
      </c>
      <c r="C123" t="s">
        <v>102</v>
      </c>
      <c r="D123" t="s">
        <v>46</v>
      </c>
      <c r="E123" t="s">
        <v>46</v>
      </c>
      <c r="F123" t="s">
        <v>46</v>
      </c>
      <c r="G123" t="s">
        <v>46</v>
      </c>
      <c r="H123" t="s">
        <v>46</v>
      </c>
      <c r="I123" t="s">
        <v>61</v>
      </c>
      <c r="J123" t="b">
        <v>1</v>
      </c>
      <c r="K123" t="s">
        <v>48</v>
      </c>
      <c r="L123" t="s">
        <v>49</v>
      </c>
    </row>
    <row r="124" spans="1:12" x14ac:dyDescent="0.25">
      <c r="A124" s="8">
        <v>46268.516689814816</v>
      </c>
      <c r="B124" t="s">
        <v>50</v>
      </c>
      <c r="C124" t="s">
        <v>102</v>
      </c>
      <c r="D124" t="s">
        <v>46</v>
      </c>
      <c r="E124" t="s">
        <v>46</v>
      </c>
      <c r="F124" t="s">
        <v>46</v>
      </c>
      <c r="G124" t="s">
        <v>46</v>
      </c>
      <c r="H124" t="s">
        <v>46</v>
      </c>
      <c r="I124" t="s">
        <v>61</v>
      </c>
      <c r="J124" t="b">
        <v>1</v>
      </c>
      <c r="K124" t="s">
        <v>48</v>
      </c>
      <c r="L124" t="s">
        <v>49</v>
      </c>
    </row>
    <row r="125" spans="1:12" x14ac:dyDescent="0.25">
      <c r="A125" s="8">
        <v>46268.516701388886</v>
      </c>
      <c r="B125" t="s">
        <v>53</v>
      </c>
      <c r="C125" t="s">
        <v>102</v>
      </c>
      <c r="D125" t="s">
        <v>74</v>
      </c>
      <c r="E125" t="s">
        <v>75</v>
      </c>
      <c r="F125" t="s">
        <v>76</v>
      </c>
      <c r="G125" t="s">
        <v>64</v>
      </c>
      <c r="H125" t="s">
        <v>46</v>
      </c>
      <c r="I125" t="s">
        <v>61</v>
      </c>
      <c r="J125" t="b">
        <v>1</v>
      </c>
      <c r="K125" t="s">
        <v>48</v>
      </c>
      <c r="L125" t="s">
        <v>49</v>
      </c>
    </row>
    <row r="126" spans="1:12" x14ac:dyDescent="0.25">
      <c r="A126" s="8">
        <v>46268.51671296296</v>
      </c>
      <c r="B126" t="s">
        <v>58</v>
      </c>
      <c r="C126" t="s">
        <v>102</v>
      </c>
      <c r="D126" t="s">
        <v>74</v>
      </c>
      <c r="E126" t="s">
        <v>75</v>
      </c>
      <c r="F126" t="s">
        <v>76</v>
      </c>
      <c r="G126" t="s">
        <v>64</v>
      </c>
      <c r="H126" t="s">
        <v>46</v>
      </c>
      <c r="I126" t="s">
        <v>61</v>
      </c>
      <c r="J126" t="b">
        <v>1</v>
      </c>
      <c r="K126" t="s">
        <v>48</v>
      </c>
      <c r="L126" t="s">
        <v>49</v>
      </c>
    </row>
    <row r="127" spans="1:12" x14ac:dyDescent="0.25">
      <c r="A127" s="8">
        <v>46268.51672453704</v>
      </c>
      <c r="B127" t="s">
        <v>70</v>
      </c>
      <c r="C127" t="s">
        <v>102</v>
      </c>
      <c r="D127" t="s">
        <v>74</v>
      </c>
      <c r="E127" t="s">
        <v>75</v>
      </c>
      <c r="F127" t="s">
        <v>76</v>
      </c>
      <c r="G127" t="s">
        <v>64</v>
      </c>
      <c r="H127" t="s">
        <v>71</v>
      </c>
      <c r="I127" t="s">
        <v>61</v>
      </c>
      <c r="J127" t="b">
        <v>1</v>
      </c>
      <c r="K127" t="s">
        <v>48</v>
      </c>
      <c r="L127" t="s">
        <v>49</v>
      </c>
    </row>
    <row r="128" spans="1:12" x14ac:dyDescent="0.25">
      <c r="A128" s="8">
        <v>46268.51673611111</v>
      </c>
      <c r="B128" t="s">
        <v>80</v>
      </c>
      <c r="C128" t="s">
        <v>102</v>
      </c>
      <c r="D128" t="s">
        <v>74</v>
      </c>
      <c r="E128" t="s">
        <v>75</v>
      </c>
      <c r="F128" t="s">
        <v>76</v>
      </c>
      <c r="G128" t="s">
        <v>64</v>
      </c>
      <c r="H128" t="s">
        <v>81</v>
      </c>
      <c r="I128" t="s">
        <v>61</v>
      </c>
      <c r="J128" t="b">
        <v>1</v>
      </c>
      <c r="K128" t="s">
        <v>48</v>
      </c>
      <c r="L128" t="s">
        <v>49</v>
      </c>
    </row>
    <row r="129" spans="1:12" x14ac:dyDescent="0.25">
      <c r="A129" s="8">
        <v>46268.516747685186</v>
      </c>
      <c r="B129" t="s">
        <v>85</v>
      </c>
      <c r="C129" t="s">
        <v>102</v>
      </c>
      <c r="D129" t="s">
        <v>74</v>
      </c>
      <c r="E129" t="s">
        <v>75</v>
      </c>
      <c r="F129" t="s">
        <v>76</v>
      </c>
      <c r="G129" t="s">
        <v>64</v>
      </c>
      <c r="H129" t="s">
        <v>86</v>
      </c>
      <c r="I129" t="s">
        <v>61</v>
      </c>
      <c r="J129" t="b">
        <v>1</v>
      </c>
      <c r="K129" t="s">
        <v>48</v>
      </c>
      <c r="L129" t="s">
        <v>49</v>
      </c>
    </row>
    <row r="130" spans="1:12" x14ac:dyDescent="0.25">
      <c r="A130" s="8">
        <v>46268.5174537037</v>
      </c>
      <c r="B130" t="s">
        <v>44</v>
      </c>
      <c r="C130" t="s">
        <v>103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t="s">
        <v>66</v>
      </c>
      <c r="J130" t="b">
        <v>1</v>
      </c>
      <c r="K130" t="s">
        <v>48</v>
      </c>
      <c r="L130" t="s">
        <v>49</v>
      </c>
    </row>
    <row r="131" spans="1:12" x14ac:dyDescent="0.25">
      <c r="A131" s="8">
        <v>46268.51746527778</v>
      </c>
      <c r="B131" t="s">
        <v>50</v>
      </c>
      <c r="C131" t="s">
        <v>103</v>
      </c>
      <c r="D131" t="s">
        <v>46</v>
      </c>
      <c r="E131" t="s">
        <v>46</v>
      </c>
      <c r="F131" t="s">
        <v>46</v>
      </c>
      <c r="G131" t="s">
        <v>46</v>
      </c>
      <c r="H131" t="s">
        <v>46</v>
      </c>
      <c r="I131" t="s">
        <v>66</v>
      </c>
      <c r="J131" t="b">
        <v>1</v>
      </c>
      <c r="K131" t="s">
        <v>48</v>
      </c>
      <c r="L131" t="s">
        <v>49</v>
      </c>
    </row>
    <row r="132" spans="1:12" x14ac:dyDescent="0.25">
      <c r="A132" s="8">
        <v>46268.51747685185</v>
      </c>
      <c r="B132" t="s">
        <v>53</v>
      </c>
      <c r="C132" t="s">
        <v>103</v>
      </c>
      <c r="D132" t="s">
        <v>78</v>
      </c>
      <c r="E132" t="s">
        <v>79</v>
      </c>
      <c r="F132" t="s">
        <v>56</v>
      </c>
      <c r="G132" t="s">
        <v>57</v>
      </c>
      <c r="H132" t="s">
        <v>46</v>
      </c>
      <c r="I132" t="s">
        <v>66</v>
      </c>
      <c r="J132" t="b">
        <v>1</v>
      </c>
      <c r="K132" t="s">
        <v>48</v>
      </c>
      <c r="L132" t="s">
        <v>49</v>
      </c>
    </row>
    <row r="133" spans="1:12" x14ac:dyDescent="0.25">
      <c r="A133" s="8">
        <v>46268.517488425925</v>
      </c>
      <c r="B133" t="s">
        <v>58</v>
      </c>
      <c r="C133" t="s">
        <v>103</v>
      </c>
      <c r="D133" t="s">
        <v>78</v>
      </c>
      <c r="E133" t="s">
        <v>79</v>
      </c>
      <c r="F133" t="s">
        <v>56</v>
      </c>
      <c r="G133" t="s">
        <v>57</v>
      </c>
      <c r="H133" t="s">
        <v>46</v>
      </c>
      <c r="I133" t="s">
        <v>66</v>
      </c>
      <c r="J133" t="b">
        <v>1</v>
      </c>
      <c r="K133" t="s">
        <v>48</v>
      </c>
      <c r="L133" t="s">
        <v>49</v>
      </c>
    </row>
    <row r="134" spans="1:12" x14ac:dyDescent="0.25">
      <c r="A134" s="8">
        <v>46268.5175</v>
      </c>
      <c r="B134" t="s">
        <v>70</v>
      </c>
      <c r="C134" t="s">
        <v>103</v>
      </c>
      <c r="D134" t="s">
        <v>78</v>
      </c>
      <c r="E134" t="s">
        <v>79</v>
      </c>
      <c r="F134" t="s">
        <v>56</v>
      </c>
      <c r="G134" t="s">
        <v>57</v>
      </c>
      <c r="H134" t="s">
        <v>71</v>
      </c>
      <c r="I134" t="s">
        <v>66</v>
      </c>
      <c r="J134" t="b">
        <v>1</v>
      </c>
      <c r="K134" t="s">
        <v>48</v>
      </c>
      <c r="L134" t="s">
        <v>49</v>
      </c>
    </row>
    <row r="135" spans="1:12" x14ac:dyDescent="0.25">
      <c r="A135" s="8">
        <v>46268.51751157407</v>
      </c>
      <c r="B135" t="s">
        <v>80</v>
      </c>
      <c r="C135" t="s">
        <v>103</v>
      </c>
      <c r="D135" t="s">
        <v>78</v>
      </c>
      <c r="E135" t="s">
        <v>79</v>
      </c>
      <c r="F135" t="s">
        <v>56</v>
      </c>
      <c r="G135" t="s">
        <v>57</v>
      </c>
      <c r="H135" t="s">
        <v>81</v>
      </c>
      <c r="I135" t="s">
        <v>66</v>
      </c>
      <c r="J135" t="b">
        <v>1</v>
      </c>
      <c r="K135" t="s">
        <v>48</v>
      </c>
      <c r="L135" t="s">
        <v>49</v>
      </c>
    </row>
    <row r="136" spans="1:12" x14ac:dyDescent="0.25">
      <c r="A136" s="8">
        <v>46268.51752314815</v>
      </c>
      <c r="B136" t="s">
        <v>85</v>
      </c>
      <c r="C136" t="s">
        <v>103</v>
      </c>
      <c r="D136" t="s">
        <v>78</v>
      </c>
      <c r="E136" t="s">
        <v>79</v>
      </c>
      <c r="F136" t="s">
        <v>56</v>
      </c>
      <c r="G136" t="s">
        <v>57</v>
      </c>
      <c r="H136" t="s">
        <v>86</v>
      </c>
      <c r="I136" t="s">
        <v>66</v>
      </c>
      <c r="J136" t="b">
        <v>1</v>
      </c>
      <c r="K136" t="s">
        <v>48</v>
      </c>
      <c r="L136" t="s">
        <v>49</v>
      </c>
    </row>
    <row r="137" spans="1:12" x14ac:dyDescent="0.25">
      <c r="A137" s="8">
        <v>46268.51822916667</v>
      </c>
      <c r="B137" t="s">
        <v>44</v>
      </c>
      <c r="C137" t="s">
        <v>104</v>
      </c>
      <c r="D137" t="s">
        <v>46</v>
      </c>
      <c r="E137" t="s">
        <v>46</v>
      </c>
      <c r="F137" t="s">
        <v>46</v>
      </c>
      <c r="G137" t="s">
        <v>46</v>
      </c>
      <c r="H137" t="s">
        <v>46</v>
      </c>
      <c r="I137" t="s">
        <v>47</v>
      </c>
      <c r="J137" t="b">
        <v>1</v>
      </c>
      <c r="K137" t="s">
        <v>48</v>
      </c>
      <c r="L137" t="s">
        <v>49</v>
      </c>
    </row>
    <row r="138" spans="1:12" x14ac:dyDescent="0.25">
      <c r="A138" s="8">
        <v>46268.51824074074</v>
      </c>
      <c r="B138" t="s">
        <v>50</v>
      </c>
      <c r="C138" t="s">
        <v>104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47</v>
      </c>
      <c r="J138" t="b">
        <v>1</v>
      </c>
      <c r="K138" t="s">
        <v>48</v>
      </c>
      <c r="L138" t="s">
        <v>49</v>
      </c>
    </row>
  </sheetData>
  <autoFilter ref="A1:L1"/>
  <pageMargins left="0.25" right="0.25" top="0.5" bottom="0.5" header="0.2" footer="0.2"/>
  <pageSetup orientation="landscape" fitToWidth="1" fitToHeight="0"/>
  <headerFooter>
    <oddFooter>ABC Tutoring • &amp;D • 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4" width="17" customWidth="1"/>
    <col min="5" max="5" width="42" customWidth="1"/>
  </cols>
  <sheetData>
    <row r="1" ht="34" customHeight="1" spans="1:5" x14ac:dyDescent="0.25">
      <c r="A1" s="1" t="s">
        <v>105</v>
      </c>
      <c r="B1" s="1"/>
      <c r="C1" s="1"/>
      <c r="D1" s="1"/>
      <c r="E1" s="1"/>
    </row>
    <row r="2" ht="32" customHeight="1" spans="1:5" x14ac:dyDescent="0.25">
      <c r="A2" s="2" t="s">
        <v>106</v>
      </c>
      <c r="B2" s="2"/>
      <c r="C2" s="2"/>
      <c r="D2" s="2"/>
      <c r="E2" s="2"/>
    </row>
    <row r="4" ht="28" customHeight="1" spans="1:5" s="5" customFormat="1" x14ac:dyDescent="0.25">
      <c r="A4" s="6" t="s">
        <v>107</v>
      </c>
      <c r="B4" s="6" t="s">
        <v>108</v>
      </c>
      <c r="C4" s="6" t="s">
        <v>109</v>
      </c>
      <c r="D4" s="6" t="s">
        <v>110</v>
      </c>
      <c r="E4" s="6" t="s">
        <v>111</v>
      </c>
    </row>
    <row r="5" spans="1:5" x14ac:dyDescent="0.25">
      <c r="A5" s="7" t="s">
        <v>112</v>
      </c>
      <c r="B5" s="7">
        <f>COUNTIFS('Event Data'!$B$2:$B$10000,"$pageview",'Event Data'!$J$2:$J$10000,FALSE)</f>
      </c>
      <c r="C5" s="7">
        <f>COUNTIFS('Event Data'!$B$2:$B$10000,"$pageview",'Event Data'!$J$2:$J$10000,TRUE)</f>
      </c>
      <c r="D5" s="7">
        <f>B5+C5</f>
      </c>
      <c r="E5" s="7" t="s">
        <v>113</v>
      </c>
    </row>
    <row r="6" spans="1:5" x14ac:dyDescent="0.25">
      <c r="A6" s="7" t="s">
        <v>114</v>
      </c>
      <c r="B6" s="7">
        <f>COUNTIFS('Event Data'!$B$2:$B$10000,"tutor_profile_viewed",'Event Data'!$J$2:$J$10000,FALSE)</f>
      </c>
      <c r="C6" s="7">
        <f>COUNTIFS('Event Data'!$B$2:$B$10000,"tutor_profile_viewed",'Event Data'!$J$2:$J$10000,TRUE)</f>
      </c>
      <c r="D6" s="7">
        <f>B6+C6</f>
      </c>
      <c r="E6" s="7" t="s">
        <v>115</v>
      </c>
    </row>
    <row r="7" spans="1:5" x14ac:dyDescent="0.25">
      <c r="A7" s="7" t="s">
        <v>116</v>
      </c>
      <c r="B7" s="7">
        <f>COUNTIFS('Event Data'!$B$2:$B$10000,"tutor_availability_viewed",'Event Data'!$J$2:$J$10000,FALSE)</f>
      </c>
      <c r="C7" s="7">
        <f>COUNTIFS('Event Data'!$B$2:$B$10000,"tutor_availability_viewed",'Event Data'!$J$2:$J$10000,TRUE)</f>
      </c>
      <c r="D7" s="7">
        <f>B7+C7</f>
      </c>
      <c r="E7" s="7" t="s">
        <v>117</v>
      </c>
    </row>
    <row r="8" spans="1:5" x14ac:dyDescent="0.25">
      <c r="A8" s="7" t="s">
        <v>118</v>
      </c>
      <c r="B8" s="7">
        <f>COUNTIFS('Event Data'!$B$2:$B$10000,"booking_details_viewed",'Event Data'!$J$2:$J$10000,FALSE)</f>
      </c>
      <c r="C8" s="7">
        <f>COUNTIFS('Event Data'!$B$2:$B$10000,"booking_details_viewed",'Event Data'!$J$2:$J$10000,TRUE)</f>
      </c>
      <c r="D8" s="7">
        <f>B8+C8</f>
      </c>
      <c r="E8" s="7" t="s">
        <v>119</v>
      </c>
    </row>
    <row r="9" spans="1:5" x14ac:dyDescent="0.25">
      <c r="A9" s="7" t="s">
        <v>120</v>
      </c>
      <c r="B9" s="7">
        <f>COUNTIFS('Event Data'!$B$2:$B$10000,"booking_completed",'Event Data'!$J$2:$J$10000,FALSE)</f>
      </c>
      <c r="C9" s="7">
        <f>COUNTIFS('Event Data'!$B$2:$B$10000,"booking_completed",'Event Data'!$J$2:$J$10000,TRUE)</f>
      </c>
      <c r="D9" s="7">
        <f>B9+C9</f>
      </c>
      <c r="E9" s="7" t="s">
        <v>121</v>
      </c>
    </row>
    <row r="10" spans="1:5" x14ac:dyDescent="0.25">
      <c r="A10" s="7" t="s">
        <v>122</v>
      </c>
      <c r="B10" s="7">
        <f>COUNTIFS('Event Data'!$B$2:$B$10000,"booking_abandoned",'Event Data'!$J$2:$J$10000,FALSE)</f>
      </c>
      <c r="C10" s="7">
        <f>COUNTIFS('Event Data'!$B$2:$B$10000,"booking_abandoned",'Event Data'!$J$2:$J$10000,TRUE)</f>
      </c>
      <c r="D10" s="7">
        <f>B10+C10</f>
      </c>
      <c r="E10" s="7" t="s">
        <v>123</v>
      </c>
    </row>
    <row r="11" spans="1:5" x14ac:dyDescent="0.25">
      <c r="A11" s="7"/>
      <c r="B11" s="7"/>
      <c r="C11" s="7"/>
      <c r="D11" s="7"/>
      <c r="E11" s="7"/>
    </row>
    <row r="12" spans="1:5" s="10" customFormat="1" x14ac:dyDescent="0.25">
      <c r="A12" s="11" t="s">
        <v>124</v>
      </c>
      <c r="B12" s="12">
        <f>IFERROR(B9/B5,0)</f>
      </c>
      <c r="C12" s="12">
        <f>IFERROR(C9/C5,0)</f>
      </c>
      <c r="D12" s="12">
        <f>IFERROR(D9/D5,0)</f>
      </c>
      <c r="E12" s="11" t="s">
        <v>125</v>
      </c>
    </row>
  </sheetData>
  <mergeCells count="2">
    <mergeCell ref="A1:E1"/>
    <mergeCell ref="A2:E2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9" customWidth="1"/>
    <col min="3" max="3" width="28" customWidth="1"/>
    <col min="4" max="5" width="15" customWidth="1"/>
    <col min="6" max="6" width="23" customWidth="1"/>
  </cols>
  <sheetData>
    <row r="1" ht="34" customHeight="1" spans="1:6" x14ac:dyDescent="0.25">
      <c r="A1" s="1" t="s">
        <v>126</v>
      </c>
      <c r="B1" s="1"/>
      <c r="C1" s="1"/>
      <c r="D1" s="1"/>
      <c r="E1" s="1"/>
      <c r="F1" s="1"/>
    </row>
    <row r="2" ht="32" customHeight="1" spans="1:6" x14ac:dyDescent="0.25">
      <c r="A2" s="2" t="s">
        <v>127</v>
      </c>
      <c r="B2" s="2"/>
      <c r="C2" s="2"/>
      <c r="D2" s="2"/>
      <c r="E2" s="2"/>
      <c r="F2" s="2"/>
    </row>
    <row r="4" ht="28" customHeight="1" spans="1:6" s="5" customFormat="1" x14ac:dyDescent="0.25">
      <c r="A4" s="6" t="s">
        <v>4</v>
      </c>
      <c r="B4" s="6" t="s">
        <v>128</v>
      </c>
      <c r="C4" s="6" t="s">
        <v>129</v>
      </c>
      <c r="D4" s="6" t="s">
        <v>130</v>
      </c>
      <c r="E4" s="6" t="s">
        <v>131</v>
      </c>
      <c r="F4" s="6" t="s">
        <v>132</v>
      </c>
    </row>
    <row r="5" spans="1:6" x14ac:dyDescent="0.25">
      <c r="A5" s="7">
        <v>1</v>
      </c>
      <c r="B5" s="7" t="s">
        <v>133</v>
      </c>
      <c r="C5" s="7" t="s">
        <v>50</v>
      </c>
      <c r="D5" s="7">
        <f>COUNTIFS('Event Data'!$B$2:$B$10000,C5,'Event Data'!$J$2:$J$10000,FALSE)</f>
      </c>
      <c r="E5" s="7">
        <f>COUNTIFS('Event Data'!$B$2:$B$10000,C5,'Event Data'!$J$2:$J$10000,TRUE)</f>
      </c>
      <c r="F5" s="13">
        <v>1</v>
      </c>
    </row>
    <row r="6" spans="1:6" x14ac:dyDescent="0.25">
      <c r="A6" s="7">
        <v>2</v>
      </c>
      <c r="B6" s="7" t="s">
        <v>134</v>
      </c>
      <c r="C6" s="7" t="s">
        <v>58</v>
      </c>
      <c r="D6" s="7">
        <f>COUNTIFS('Event Data'!$B$2:$B$10000,C6,'Event Data'!$J$2:$J$10000,FALSE)</f>
      </c>
      <c r="E6" s="7">
        <f>COUNTIFS('Event Data'!$B$2:$B$10000,C6,'Event Data'!$J$2:$J$10000,TRUE)</f>
      </c>
      <c r="F6" s="13">
        <f>IFERROR(E6/E5,0)</f>
      </c>
    </row>
    <row r="7" spans="1:6" x14ac:dyDescent="0.25">
      <c r="A7" s="7">
        <v>3</v>
      </c>
      <c r="B7" s="7" t="s">
        <v>135</v>
      </c>
      <c r="C7" s="7" t="s">
        <v>59</v>
      </c>
      <c r="D7" s="7">
        <f>COUNTIFS('Event Data'!$B$2:$B$10000,C7,'Event Data'!$J$2:$J$10000,FALSE)</f>
      </c>
      <c r="E7" s="7">
        <f>COUNTIFS('Event Data'!$B$2:$B$10000,C7,'Event Data'!$J$2:$J$10000,TRUE)</f>
      </c>
      <c r="F7" s="13">
        <f>IFERROR(E7/E6,0)</f>
      </c>
    </row>
    <row r="8" spans="1:6" x14ac:dyDescent="0.25">
      <c r="A8" s="7">
        <v>4</v>
      </c>
      <c r="B8" s="7" t="s">
        <v>116</v>
      </c>
      <c r="C8" s="7" t="s">
        <v>70</v>
      </c>
      <c r="D8" s="7">
        <f>COUNTIFS('Event Data'!$B$2:$B$10000,C8,'Event Data'!$J$2:$J$10000,FALSE)</f>
      </c>
      <c r="E8" s="7">
        <f>COUNTIFS('Event Data'!$B$2:$B$10000,C8,'Event Data'!$J$2:$J$10000,TRUE)</f>
      </c>
      <c r="F8" s="13">
        <f>IFERROR(E8/E7,0)</f>
      </c>
    </row>
    <row r="9" spans="1:6" x14ac:dyDescent="0.25">
      <c r="A9" s="7">
        <v>5</v>
      </c>
      <c r="B9" s="7" t="s">
        <v>118</v>
      </c>
      <c r="C9" s="7" t="s">
        <v>80</v>
      </c>
      <c r="D9" s="7">
        <f>COUNTIFS('Event Data'!$B$2:$B$10000,C9,'Event Data'!$J$2:$J$10000,FALSE)</f>
      </c>
      <c r="E9" s="7">
        <f>COUNTIFS('Event Data'!$B$2:$B$10000,C9,'Event Data'!$J$2:$J$10000,TRUE)</f>
      </c>
      <c r="F9" s="13">
        <f>IFERROR(E9/E8,0)</f>
      </c>
    </row>
    <row r="10" spans="1:6" x14ac:dyDescent="0.25">
      <c r="A10" s="7">
        <v>6</v>
      </c>
      <c r="B10" s="7" t="s">
        <v>136</v>
      </c>
      <c r="C10" s="7" t="s">
        <v>85</v>
      </c>
      <c r="D10" s="7">
        <f>COUNTIFS('Event Data'!$B$2:$B$10000,C10,'Event Data'!$J$2:$J$10000,FALSE)</f>
      </c>
      <c r="E10" s="7">
        <f>COUNTIFS('Event Data'!$B$2:$B$10000,C10,'Event Data'!$J$2:$J$10000,TRUE)</f>
      </c>
      <c r="F10" s="13">
        <f>IFERROR(E10/E9,0)</f>
      </c>
    </row>
  </sheetData>
  <mergeCells count="2">
    <mergeCell ref="A1:F1"/>
    <mergeCell ref="A2:F2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5" customWidth="1"/>
    <col min="4" max="6" width="17" customWidth="1"/>
    <col min="7" max="7" width="19" customWidth="1"/>
  </cols>
  <sheetData>
    <row r="1" ht="34" customHeight="1" spans="1:7" x14ac:dyDescent="0.25">
      <c r="A1" s="1" t="s">
        <v>137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138</v>
      </c>
      <c r="B2" s="2"/>
      <c r="C2" s="2"/>
      <c r="D2" s="2"/>
      <c r="E2" s="2"/>
      <c r="F2" s="2"/>
      <c r="G2" s="2"/>
    </row>
    <row r="4" ht="28" customHeight="1" spans="1:7" s="5" customFormat="1" x14ac:dyDescent="0.25">
      <c r="A4" s="6" t="s">
        <v>35</v>
      </c>
      <c r="B4" s="6" t="s">
        <v>139</v>
      </c>
      <c r="C4" s="6" t="s">
        <v>37</v>
      </c>
      <c r="D4" s="6" t="s">
        <v>140</v>
      </c>
      <c r="E4" s="6" t="s">
        <v>141</v>
      </c>
      <c r="F4" s="6" t="s">
        <v>142</v>
      </c>
      <c r="G4" s="6" t="s">
        <v>143</v>
      </c>
    </row>
    <row r="5" spans="1:7" x14ac:dyDescent="0.25">
      <c r="A5" s="7" t="s">
        <v>83</v>
      </c>
      <c r="B5" s="7" t="s">
        <v>84</v>
      </c>
      <c r="C5" s="7" t="s">
        <v>56</v>
      </c>
      <c r="D5" s="7">
        <f>COUNTIFS('Event Data'!$B$2:$B$10000,"tutor_profile_viewed",'Event Data'!$D$2:$D$10000,A5,'Event Data'!$J$2:$J$10000,TRUE)</f>
      </c>
      <c r="E5" s="7">
        <f>COUNTIFS('Event Data'!$B$2:$B$10000,"tutor_availability_viewed",'Event Data'!$D$2:$D$10000,A5,'Event Data'!$J$2:$J$10000,TRUE)</f>
      </c>
      <c r="F5" s="7">
        <f>COUNTIFS('Event Data'!$B$2:$B$10000,"booking_completed",'Event Data'!$D$2:$D$10000,A5,'Event Data'!$J$2:$J$10000,TRUE)</f>
      </c>
      <c r="G5" s="13">
        <f>IFERROR(F5/(D5+E5),0)</f>
      </c>
    </row>
    <row r="6" spans="1:7" x14ac:dyDescent="0.25">
      <c r="A6" s="7" t="s">
        <v>54</v>
      </c>
      <c r="B6" s="7" t="s">
        <v>55</v>
      </c>
      <c r="C6" s="7" t="s">
        <v>56</v>
      </c>
      <c r="D6" s="7">
        <f>COUNTIFS('Event Data'!$B$2:$B$10000,"tutor_profile_viewed",'Event Data'!$D$2:$D$10000,A6,'Event Data'!$J$2:$J$10000,TRUE)</f>
      </c>
      <c r="E6" s="7">
        <f>COUNTIFS('Event Data'!$B$2:$B$10000,"tutor_availability_viewed",'Event Data'!$D$2:$D$10000,A6,'Event Data'!$J$2:$J$10000,TRUE)</f>
      </c>
      <c r="F6" s="7">
        <f>COUNTIFS('Event Data'!$B$2:$B$10000,"booking_completed",'Event Data'!$D$2:$D$10000,A6,'Event Data'!$J$2:$J$10000,TRUE)</f>
      </c>
      <c r="G6" s="13">
        <f>IFERROR(F6/(D6+E6),0)</f>
      </c>
    </row>
    <row r="7" spans="1:7" x14ac:dyDescent="0.25">
      <c r="A7" s="7" t="s">
        <v>62</v>
      </c>
      <c r="B7" s="7" t="s">
        <v>63</v>
      </c>
      <c r="C7" s="7" t="s">
        <v>56</v>
      </c>
      <c r="D7" s="7">
        <f>COUNTIFS('Event Data'!$B$2:$B$10000,"tutor_profile_viewed",'Event Data'!$D$2:$D$10000,A7,'Event Data'!$J$2:$J$10000,TRUE)</f>
      </c>
      <c r="E7" s="7">
        <f>COUNTIFS('Event Data'!$B$2:$B$10000,"tutor_availability_viewed",'Event Data'!$D$2:$D$10000,A7,'Event Data'!$J$2:$J$10000,TRUE)</f>
      </c>
      <c r="F7" s="7">
        <f>COUNTIFS('Event Data'!$B$2:$B$10000,"booking_completed",'Event Data'!$D$2:$D$10000,A7,'Event Data'!$J$2:$J$10000,TRUE)</f>
      </c>
      <c r="G7" s="13">
        <f>IFERROR(F7/(D7+E7),0)</f>
      </c>
    </row>
    <row r="8" spans="1:7" x14ac:dyDescent="0.25">
      <c r="A8" s="7" t="s">
        <v>67</v>
      </c>
      <c r="B8" s="7" t="s">
        <v>68</v>
      </c>
      <c r="C8" s="7" t="s">
        <v>69</v>
      </c>
      <c r="D8" s="7">
        <f>COUNTIFS('Event Data'!$B$2:$B$10000,"tutor_profile_viewed",'Event Data'!$D$2:$D$10000,A8,'Event Data'!$J$2:$J$10000,TRUE)</f>
      </c>
      <c r="E8" s="7">
        <f>COUNTIFS('Event Data'!$B$2:$B$10000,"tutor_availability_viewed",'Event Data'!$D$2:$D$10000,A8,'Event Data'!$J$2:$J$10000,TRUE)</f>
      </c>
      <c r="F8" s="7">
        <f>COUNTIFS('Event Data'!$B$2:$B$10000,"booking_completed",'Event Data'!$D$2:$D$10000,A8,'Event Data'!$J$2:$J$10000,TRUE)</f>
      </c>
      <c r="G8" s="13">
        <f>IFERROR(F8/(D8+E8),0)</f>
      </c>
    </row>
    <row r="9" spans="1:7" x14ac:dyDescent="0.25">
      <c r="A9" s="7" t="s">
        <v>74</v>
      </c>
      <c r="B9" s="7" t="s">
        <v>75</v>
      </c>
      <c r="C9" s="7" t="s">
        <v>76</v>
      </c>
      <c r="D9" s="7">
        <f>COUNTIFS('Event Data'!$B$2:$B$10000,"tutor_profile_viewed",'Event Data'!$D$2:$D$10000,A9,'Event Data'!$J$2:$J$10000,TRUE)</f>
      </c>
      <c r="E9" s="7">
        <f>COUNTIFS('Event Data'!$B$2:$B$10000,"tutor_availability_viewed",'Event Data'!$D$2:$D$10000,A9,'Event Data'!$J$2:$J$10000,TRUE)</f>
      </c>
      <c r="F9" s="7">
        <f>COUNTIFS('Event Data'!$B$2:$B$10000,"booking_completed",'Event Data'!$D$2:$D$10000,A9,'Event Data'!$J$2:$J$10000,TRUE)</f>
      </c>
      <c r="G9" s="13">
        <f>IFERROR(F9/(D9+E9),0)</f>
      </c>
    </row>
    <row r="10" spans="1:7" x14ac:dyDescent="0.25">
      <c r="A10" s="7" t="s">
        <v>78</v>
      </c>
      <c r="B10" s="7" t="s">
        <v>79</v>
      </c>
      <c r="C10" s="7" t="s">
        <v>56</v>
      </c>
      <c r="D10" s="7">
        <f>COUNTIFS('Event Data'!$B$2:$B$10000,"tutor_profile_viewed",'Event Data'!$D$2:$D$10000,A10,'Event Data'!$J$2:$J$10000,TRUE)</f>
      </c>
      <c r="E10" s="7">
        <f>COUNTIFS('Event Data'!$B$2:$B$10000,"tutor_availability_viewed",'Event Data'!$D$2:$D$10000,A10,'Event Data'!$J$2:$J$10000,TRUE)</f>
      </c>
      <c r="F10" s="7">
        <f>COUNTIFS('Event Data'!$B$2:$B$10000,"booking_completed",'Event Data'!$D$2:$D$10000,A10,'Event Data'!$J$2:$J$10000,TRUE)</f>
      </c>
      <c r="G10" s="13">
        <f>IFERROR(F10/(D10+E10),0)</f>
      </c>
    </row>
  </sheetData>
  <mergeCells count="2">
    <mergeCell ref="A1:G1"/>
    <mergeCell ref="A2:G2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2" customWidth="1"/>
    <col min="4" max="4" width="20" customWidth="1"/>
    <col min="5" max="5" width="42" customWidth="1"/>
  </cols>
  <sheetData>
    <row r="1" ht="34" customHeight="1" spans="1:5" x14ac:dyDescent="0.25">
      <c r="A1" s="1" t="s">
        <v>144</v>
      </c>
      <c r="B1" s="1"/>
      <c r="C1" s="1"/>
      <c r="D1" s="1"/>
      <c r="E1" s="1"/>
    </row>
    <row r="2" ht="32" customHeight="1" spans="1:5" x14ac:dyDescent="0.25">
      <c r="A2" s="2" t="s">
        <v>145</v>
      </c>
      <c r="B2" s="2"/>
      <c r="C2" s="2"/>
      <c r="D2" s="2"/>
      <c r="E2" s="2"/>
    </row>
    <row r="4" ht="28" customHeight="1" spans="1:5" s="5" customFormat="1" x14ac:dyDescent="0.25">
      <c r="A4" s="6" t="s">
        <v>37</v>
      </c>
      <c r="B4" s="6" t="s">
        <v>146</v>
      </c>
      <c r="C4" s="6" t="s">
        <v>141</v>
      </c>
      <c r="D4" s="6" t="s">
        <v>142</v>
      </c>
      <c r="E4" s="6" t="s">
        <v>147</v>
      </c>
    </row>
    <row r="5" spans="1:5" x14ac:dyDescent="0.25">
      <c r="A5" s="7" t="s">
        <v>56</v>
      </c>
      <c r="B5" s="7">
        <f>COUNTIFS('Event Data'!$B$2:$B$10000,"subject_interest",'Event Data'!$F$2:$F$10000,A5,'Event Data'!$J$2:$J$10000,TRUE)</f>
      </c>
      <c r="C5" s="7">
        <f>COUNTIFS('Event Data'!$B$2:$B$10000,"tutor_availability_viewed",'Event Data'!$F$2:$F$10000,A5,'Event Data'!$J$2:$J$10000,TRUE)</f>
      </c>
      <c r="D5" s="7">
        <f>COUNTIFS('Event Data'!$B$2:$B$10000,"booking_completed",'Event Data'!$F$2:$F$10000,A5,'Event Data'!$J$2:$J$10000,TRUE)</f>
      </c>
      <c r="E5" s="7" t="s">
        <v>148</v>
      </c>
    </row>
    <row r="6" spans="1:5" x14ac:dyDescent="0.25">
      <c r="A6" s="7" t="s">
        <v>69</v>
      </c>
      <c r="B6" s="7">
        <f>COUNTIFS('Event Data'!$B$2:$B$10000,"subject_interest",'Event Data'!$F$2:$F$10000,A6,'Event Data'!$J$2:$J$10000,TRUE)</f>
      </c>
      <c r="C6" s="7">
        <f>COUNTIFS('Event Data'!$B$2:$B$10000,"tutor_availability_viewed",'Event Data'!$F$2:$F$10000,A6,'Event Data'!$J$2:$J$10000,TRUE)</f>
      </c>
      <c r="D6" s="7">
        <f>COUNTIFS('Event Data'!$B$2:$B$10000,"booking_completed",'Event Data'!$F$2:$F$10000,A6,'Event Data'!$J$2:$J$10000,TRUE)</f>
      </c>
      <c r="E6" s="7" t="s">
        <v>148</v>
      </c>
    </row>
    <row r="7" spans="1:5" x14ac:dyDescent="0.25">
      <c r="A7" s="7" t="s">
        <v>76</v>
      </c>
      <c r="B7" s="7">
        <f>COUNTIFS('Event Data'!$B$2:$B$10000,"subject_interest",'Event Data'!$F$2:$F$10000,A7,'Event Data'!$J$2:$J$10000,TRUE)</f>
      </c>
      <c r="C7" s="7">
        <f>COUNTIFS('Event Data'!$B$2:$B$10000,"tutor_availability_viewed",'Event Data'!$F$2:$F$10000,A7,'Event Data'!$J$2:$J$10000,TRUE)</f>
      </c>
      <c r="D7" s="7">
        <f>COUNTIFS('Event Data'!$B$2:$B$10000,"booking_completed",'Event Data'!$F$2:$F$10000,A7,'Event Data'!$J$2:$J$10000,TRUE)</f>
      </c>
      <c r="E7" s="7" t="s">
        <v>148</v>
      </c>
    </row>
  </sheetData>
  <mergeCells count="2">
    <mergeCell ref="A1:E1"/>
    <mergeCell ref="A2:E2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8" customWidth="1"/>
    <col min="4" max="4" width="19" customWidth="1"/>
    <col min="5" max="5" width="48" customWidth="1"/>
  </cols>
  <sheetData>
    <row r="1" ht="34" customHeight="1" spans="1:5" x14ac:dyDescent="0.25">
      <c r="A1" s="1" t="s">
        <v>149</v>
      </c>
      <c r="B1" s="1"/>
      <c r="C1" s="1"/>
      <c r="D1" s="1"/>
      <c r="E1" s="1"/>
    </row>
    <row r="2" ht="32" customHeight="1" spans="1:5" x14ac:dyDescent="0.25">
      <c r="A2" s="2" t="s">
        <v>150</v>
      </c>
      <c r="B2" s="2"/>
      <c r="C2" s="2"/>
      <c r="D2" s="2"/>
      <c r="E2" s="2"/>
    </row>
    <row r="4" ht="28" customHeight="1" spans="1:5" s="5" customFormat="1" x14ac:dyDescent="0.25">
      <c r="A4" s="6" t="s">
        <v>151</v>
      </c>
      <c r="B4" s="6" t="s">
        <v>152</v>
      </c>
      <c r="C4" s="6" t="s">
        <v>142</v>
      </c>
      <c r="D4" s="6" t="s">
        <v>153</v>
      </c>
      <c r="E4" s="6" t="s">
        <v>154</v>
      </c>
    </row>
    <row r="5" spans="1:5" x14ac:dyDescent="0.25">
      <c r="A5" s="7" t="s">
        <v>47</v>
      </c>
      <c r="B5" s="7">
        <f>COUNTIFS('Event Data'!$B$2:$B$10000,"$pageview",'Event Data'!$I$2:$I$10000,A5,'Event Data'!$J$2:$J$10000,TRUE)</f>
      </c>
      <c r="C5" s="7">
        <f>COUNTIFS('Event Data'!$B$2:$B$10000,"booking_completed",'Event Data'!$I$2:$I$10000,A5,'Event Data'!$J$2:$J$10000,TRUE)</f>
      </c>
      <c r="D5" s="13">
        <f>IFERROR(C5/B5,0)</f>
      </c>
      <c r="E5" s="7" t="s">
        <v>155</v>
      </c>
    </row>
    <row r="6" spans="1:5" x14ac:dyDescent="0.25">
      <c r="A6" s="7" t="s">
        <v>52</v>
      </c>
      <c r="B6" s="7">
        <f>COUNTIFS('Event Data'!$B$2:$B$10000,"$pageview",'Event Data'!$I$2:$I$10000,A6,'Event Data'!$J$2:$J$10000,TRUE)</f>
      </c>
      <c r="C6" s="7">
        <f>COUNTIFS('Event Data'!$B$2:$B$10000,"booking_completed",'Event Data'!$I$2:$I$10000,A6,'Event Data'!$J$2:$J$10000,TRUE)</f>
      </c>
      <c r="D6" s="13">
        <f>IFERROR(C6/B6,0)</f>
      </c>
      <c r="E6" s="7" t="s">
        <v>155</v>
      </c>
    </row>
    <row r="7" spans="1:5" x14ac:dyDescent="0.25">
      <c r="A7" s="7" t="s">
        <v>61</v>
      </c>
      <c r="B7" s="7">
        <f>COUNTIFS('Event Data'!$B$2:$B$10000,"$pageview",'Event Data'!$I$2:$I$10000,A7,'Event Data'!$J$2:$J$10000,TRUE)</f>
      </c>
      <c r="C7" s="7">
        <f>COUNTIFS('Event Data'!$B$2:$B$10000,"booking_completed",'Event Data'!$I$2:$I$10000,A7,'Event Data'!$J$2:$J$10000,TRUE)</f>
      </c>
      <c r="D7" s="13">
        <f>IFERROR(C7/B7,0)</f>
      </c>
      <c r="E7" s="7" t="s">
        <v>155</v>
      </c>
    </row>
    <row r="8" spans="1:5" x14ac:dyDescent="0.25">
      <c r="A8" s="7" t="s">
        <v>66</v>
      </c>
      <c r="B8" s="7">
        <f>COUNTIFS('Event Data'!$B$2:$B$10000,"$pageview",'Event Data'!$I$2:$I$10000,A8,'Event Data'!$J$2:$J$10000,TRUE)</f>
      </c>
      <c r="C8" s="7">
        <f>COUNTIFS('Event Data'!$B$2:$B$10000,"booking_completed",'Event Data'!$I$2:$I$10000,A8,'Event Data'!$J$2:$J$10000,TRUE)</f>
      </c>
      <c r="D8" s="13">
        <f>IFERROR(C8/B8,0)</f>
      </c>
      <c r="E8" s="7" t="s">
        <v>155</v>
      </c>
    </row>
  </sheetData>
  <mergeCells count="2">
    <mergeCell ref="A1:E1"/>
    <mergeCell ref="A2:E2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23" customWidth="1"/>
    <col min="3" max="3" width="66" customWidth="1"/>
    <col min="4" max="4" width="28" customWidth="1"/>
  </cols>
  <sheetData>
    <row r="1" ht="34" customHeight="1" spans="1:4" x14ac:dyDescent="0.25">
      <c r="A1" s="1" t="s">
        <v>156</v>
      </c>
      <c r="B1" s="1"/>
      <c r="C1" s="1"/>
      <c r="D1" s="1"/>
    </row>
    <row r="2" ht="32" customHeight="1" spans="1:4" x14ac:dyDescent="0.25">
      <c r="A2" s="2" t="s">
        <v>157</v>
      </c>
      <c r="B2" s="2"/>
      <c r="C2" s="2"/>
      <c r="D2" s="2"/>
    </row>
    <row r="4" ht="28" customHeight="1" spans="1:4" s="5" customFormat="1" x14ac:dyDescent="0.25">
      <c r="A4" s="6" t="s">
        <v>158</v>
      </c>
      <c r="B4" s="6" t="s">
        <v>159</v>
      </c>
      <c r="C4" s="6" t="s">
        <v>160</v>
      </c>
      <c r="D4" s="6" t="s">
        <v>161</v>
      </c>
    </row>
    <row r="5" ht="34" customHeight="1" spans="1:4" x14ac:dyDescent="0.25">
      <c r="A5" s="7" t="s">
        <v>50</v>
      </c>
      <c r="B5" s="7" t="s">
        <v>162</v>
      </c>
      <c r="C5" s="7" t="s">
        <v>163</v>
      </c>
      <c r="D5" s="7" t="s">
        <v>164</v>
      </c>
    </row>
    <row r="6" ht="34" customHeight="1" spans="1:4" x14ac:dyDescent="0.25">
      <c r="A6" s="7" t="s">
        <v>58</v>
      </c>
      <c r="B6" s="7" t="s">
        <v>162</v>
      </c>
      <c r="C6" s="7" t="s">
        <v>165</v>
      </c>
      <c r="D6" s="7" t="s">
        <v>166</v>
      </c>
    </row>
    <row r="7" ht="34" customHeight="1" spans="1:4" x14ac:dyDescent="0.25">
      <c r="A7" s="7" t="s">
        <v>59</v>
      </c>
      <c r="B7" s="7" t="s">
        <v>162</v>
      </c>
      <c r="C7" s="7" t="s">
        <v>167</v>
      </c>
      <c r="D7" s="7" t="s">
        <v>168</v>
      </c>
    </row>
    <row r="8" ht="34" customHeight="1" spans="1:4" x14ac:dyDescent="0.25">
      <c r="A8" s="7" t="s">
        <v>70</v>
      </c>
      <c r="B8" s="7" t="s">
        <v>162</v>
      </c>
      <c r="C8" s="7" t="s">
        <v>169</v>
      </c>
      <c r="D8" s="7" t="s">
        <v>170</v>
      </c>
    </row>
    <row r="9" ht="34" customHeight="1" spans="1:4" x14ac:dyDescent="0.25">
      <c r="A9" s="7" t="s">
        <v>80</v>
      </c>
      <c r="B9" s="7" t="s">
        <v>162</v>
      </c>
      <c r="C9" s="7" t="s">
        <v>171</v>
      </c>
      <c r="D9" s="7" t="s">
        <v>172</v>
      </c>
    </row>
    <row r="10" ht="34" customHeight="1" spans="1:4" x14ac:dyDescent="0.25">
      <c r="A10" s="7" t="s">
        <v>85</v>
      </c>
      <c r="B10" s="7" t="s">
        <v>162</v>
      </c>
      <c r="C10" s="7" t="s">
        <v>173</v>
      </c>
      <c r="D10" s="7" t="s">
        <v>174</v>
      </c>
    </row>
    <row r="11" ht="34" customHeight="1" spans="1:4" x14ac:dyDescent="0.25">
      <c r="A11" s="7" t="s">
        <v>72</v>
      </c>
      <c r="B11" s="7" t="s">
        <v>162</v>
      </c>
      <c r="C11" s="7" t="s">
        <v>175</v>
      </c>
      <c r="D11" s="7" t="s">
        <v>176</v>
      </c>
    </row>
    <row r="12" ht="34" customHeight="1" spans="1:4" x14ac:dyDescent="0.25">
      <c r="A12" s="7" t="s">
        <v>177</v>
      </c>
      <c r="B12" s="7" t="s">
        <v>162</v>
      </c>
      <c r="C12" s="7" t="s">
        <v>178</v>
      </c>
      <c r="D12" s="7" t="s">
        <v>179</v>
      </c>
    </row>
    <row r="13" ht="34" customHeight="1" spans="1:4" x14ac:dyDescent="0.25">
      <c r="A13" s="7" t="s">
        <v>180</v>
      </c>
      <c r="B13" s="7" t="s">
        <v>181</v>
      </c>
      <c r="C13" s="7" t="s">
        <v>182</v>
      </c>
      <c r="D13" s="7" t="s">
        <v>183</v>
      </c>
    </row>
    <row r="14" ht="34" customHeight="1" spans="1:4" x14ac:dyDescent="0.25">
      <c r="A14" s="7" t="s">
        <v>184</v>
      </c>
      <c r="B14" s="7" t="s">
        <v>181</v>
      </c>
      <c r="C14" s="7" t="s">
        <v>185</v>
      </c>
      <c r="D14" s="7" t="s">
        <v>186</v>
      </c>
    </row>
    <row r="15" ht="34" customHeight="1" spans="1:4" x14ac:dyDescent="0.25">
      <c r="A15" s="7" t="s">
        <v>187</v>
      </c>
      <c r="B15" s="7" t="s">
        <v>181</v>
      </c>
      <c r="C15" s="7" t="s">
        <v>188</v>
      </c>
      <c r="D15" s="7" t="s">
        <v>189</v>
      </c>
    </row>
    <row r="16" ht="34" customHeight="1" spans="1:4" x14ac:dyDescent="0.25">
      <c r="A16" s="7" t="s">
        <v>190</v>
      </c>
      <c r="B16" s="7" t="s">
        <v>181</v>
      </c>
      <c r="C16" s="7" t="s">
        <v>191</v>
      </c>
      <c r="D16" s="7" t="s">
        <v>192</v>
      </c>
    </row>
    <row r="17" ht="34" customHeight="1" spans="1:4" x14ac:dyDescent="0.25">
      <c r="A17" s="7" t="s">
        <v>193</v>
      </c>
      <c r="B17" s="7" t="s">
        <v>181</v>
      </c>
      <c r="C17" s="7" t="s">
        <v>194</v>
      </c>
      <c r="D17" s="7" t="s">
        <v>195</v>
      </c>
    </row>
    <row r="18" ht="34" customHeight="1" spans="1:4" x14ac:dyDescent="0.25">
      <c r="A18" s="7" t="s">
        <v>40</v>
      </c>
      <c r="B18" s="7" t="s">
        <v>181</v>
      </c>
      <c r="C18" s="7" t="s">
        <v>196</v>
      </c>
      <c r="D18" s="7" t="s">
        <v>197</v>
      </c>
    </row>
  </sheetData>
  <mergeCells count="2">
    <mergeCell ref="A1:D1"/>
    <mergeCell ref="A2:D2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6" customWidth="1"/>
    <col min="4" max="4" width="18" customWidth="1"/>
    <col min="5" max="5" width="18" style="14" customWidth="1"/>
  </cols>
  <sheetData>
    <row r="1" ht="34" customHeight="1" spans="1:5" x14ac:dyDescent="0.25">
      <c r="A1" s="15" t="s">
        <v>198</v>
      </c>
      <c r="B1" s="15"/>
      <c r="C1" s="15"/>
      <c r="D1" s="15"/>
      <c r="E1" s="15"/>
    </row>
    <row r="2" ht="32" customHeight="1" spans="1:5" x14ac:dyDescent="0.25">
      <c r="A2" s="16" t="s">
        <v>199</v>
      </c>
      <c r="B2" s="16"/>
      <c r="C2" s="16"/>
      <c r="D2" s="16"/>
      <c r="E2" s="16"/>
    </row>
    <row r="4" ht="28" customHeight="1" spans="1:5" s="5" customFormat="1" x14ac:dyDescent="0.25">
      <c r="A4" s="6" t="s">
        <v>35</v>
      </c>
      <c r="B4" s="6" t="s">
        <v>139</v>
      </c>
      <c r="C4" s="6" t="s">
        <v>37</v>
      </c>
      <c r="D4" s="6" t="s">
        <v>200</v>
      </c>
      <c r="E4" s="17" t="s">
        <v>201</v>
      </c>
    </row>
    <row r="5" spans="1:5" x14ac:dyDescent="0.25">
      <c r="A5" s="7" t="s">
        <v>83</v>
      </c>
      <c r="B5" s="7" t="s">
        <v>84</v>
      </c>
      <c r="C5" s="7" t="s">
        <v>56</v>
      </c>
      <c r="D5" s="7" t="s">
        <v>202</v>
      </c>
      <c r="E5" s="18">
        <v>45</v>
      </c>
    </row>
    <row r="6" spans="1:5" x14ac:dyDescent="0.25">
      <c r="A6" s="7" t="s">
        <v>54</v>
      </c>
      <c r="B6" s="7" t="s">
        <v>55</v>
      </c>
      <c r="C6" s="7" t="s">
        <v>56</v>
      </c>
      <c r="D6" s="7" t="s">
        <v>203</v>
      </c>
      <c r="E6" s="18">
        <v>52</v>
      </c>
    </row>
    <row r="7" spans="1:5" x14ac:dyDescent="0.25">
      <c r="A7" s="7" t="s">
        <v>62</v>
      </c>
      <c r="B7" s="7" t="s">
        <v>63</v>
      </c>
      <c r="C7" s="7" t="s">
        <v>56</v>
      </c>
      <c r="D7" s="7" t="s">
        <v>203</v>
      </c>
      <c r="E7" s="18">
        <v>55</v>
      </c>
    </row>
    <row r="8" spans="1:5" x14ac:dyDescent="0.25">
      <c r="A8" s="7" t="s">
        <v>67</v>
      </c>
      <c r="B8" s="7" t="s">
        <v>68</v>
      </c>
      <c r="C8" s="7" t="s">
        <v>69</v>
      </c>
      <c r="D8" s="7" t="s">
        <v>203</v>
      </c>
      <c r="E8" s="18">
        <v>50</v>
      </c>
    </row>
    <row r="9" spans="1:5" x14ac:dyDescent="0.25">
      <c r="A9" s="7" t="s">
        <v>74</v>
      </c>
      <c r="B9" s="7" t="s">
        <v>75</v>
      </c>
      <c r="C9" s="7" t="s">
        <v>76</v>
      </c>
      <c r="D9" s="7" t="s">
        <v>204</v>
      </c>
      <c r="E9" s="18">
        <v>40</v>
      </c>
    </row>
    <row r="10" spans="1:5" x14ac:dyDescent="0.25">
      <c r="A10" s="7" t="s">
        <v>78</v>
      </c>
      <c r="B10" s="7" t="s">
        <v>79</v>
      </c>
      <c r="C10" s="7" t="s">
        <v>56</v>
      </c>
      <c r="D10" s="7" t="s">
        <v>205</v>
      </c>
      <c r="E10" s="18">
        <v>42</v>
      </c>
    </row>
  </sheetData>
  <mergeCells count="2">
    <mergeCell ref="A1:E1"/>
    <mergeCell ref="A2:E2"/>
  </mergeCells>
  <pageMargins left="0.25" right="0.25" top="0.5" bottom="0.5" header="0.2" footer="0.2"/>
  <pageSetup orientation="landscape" fitToWidth="1" fitToHeight="0"/>
  <headerFooter>
    <oddFooter>ABC Tutoring • &amp;D •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Event Data</vt:lpstr>
      <vt:lpstr>KPI Summary</vt:lpstr>
      <vt:lpstr>Booking Funnel</vt:lpstr>
      <vt:lpstr>Tutor Performance</vt:lpstr>
      <vt:lpstr>Subject Interest</vt:lpstr>
      <vt:lpstr>Traffic Sources</vt:lpstr>
      <vt:lpstr>Data Dictionary</vt:lpstr>
      <vt:lpstr>Tutor Directory</vt:lpstr>
    </vt:vector>
  </TitlesOfParts>
  <Company>ABC Tutoring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Tutoring</dc:creator>
  <dc:title>ABC Tutoring Analytics Report</dc:title>
  <dc:subject>Shareable website and booking analytics report</dc:subject>
  <dc:description/>
  <cp:keywords/>
  <cp:category/>
  <cp:lastModifiedBy>Unknown</cp:lastModifiedBy>
  <dcterms:created xsi:type="dcterms:W3CDTF">2026-09-03T06:04:40Z</dcterms:created>
  <dcterms:modified xsi:type="dcterms:W3CDTF">2026-09-03T06:04:40Z</dcterms:modified>
</cp:coreProperties>
</file>